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hema_GameOutcome" sheetId="2" state="visible" r:id="rId4"/>
    <sheet name="Schema_SeasonSummary" sheetId="3" state="visible" r:id="rId5"/>
    <sheet name="Schema_TeamInput" sheetId="4" state="visible" r:id="rId6"/>
    <sheet name="Sim_Config" sheetId="5" state="visible" r:id="rId7"/>
    <sheet name="Team_Inputs" sheetId="6" state="visible" r:id="rId8"/>
    <sheet name="Consumer_Map" sheetId="7" state="visible" r:id="rId9"/>
    <sheet name="Algorithm" sheetId="8" state="visible" r:id="rId10"/>
    <sheet name="Win_Prob_Curve" sheetId="9" state="visible" r:id="rId11"/>
    <sheet name="Sample_Games" sheetId="10" state="visible" r:id="rId12"/>
    <sheet name="Sample_Standings" sheetId="11" state="visible" r:id="rId13"/>
    <sheet name="Validation" sheetId="12" state="visible" r:id="rId14"/>
    <sheet name="Monte_Carlo" sheetId="13" state="visible" r:id="rId15"/>
    <sheet name="Coin_Calibration" sheetId="14" state="visible" r:id="rId16"/>
    <sheet name="Task_Split" sheetId="15" state="visible" r:id="rId17"/>
    <sheet name="Open_Questions" sheetId="16" state="visible" r:id="rId18"/>
    <sheet name="JSON_Example" sheetId="17" state="visible" r:id="rId19"/>
  </sheets>
  <definedNames>
    <definedName function="false" hidden="false" name="home_advantage" vbProcedure="false">Sim_Config!$B$12</definedName>
    <definedName function="false" hidden="false" name="k" vbProcedure="false">Sim_Config!$B$11</definedName>
    <definedName function="false" hidden="false" name="loser_score_mean" vbProcedure="false">Sim_Config!$B$13</definedName>
    <definedName function="false" hidden="false" name="loser_score_sd" vbProcedure="false">Sim_Config!$B$14</definedName>
    <definedName function="false" hidden="false" name="margin_base" vbProcedure="false">Sim_Config!$B$15</definedName>
    <definedName function="false" hidden="false" name="margin_per_strength" vbProcedure="false">Sim_Config!$B$16</definedName>
    <definedName function="false" hidden="false" name="margin_sd" vbProcedure="false">Sim_Config!$B$17</definedName>
    <definedName function="false" hidden="false" name="monte_carlo_seasons" vbProcedure="false">Sim_Config!$B$20</definedName>
    <definedName function="false" hidden="false" name="monte_carlo_seed" vbProcedure="false">Sim_Config!$B$19</definedName>
    <definedName function="false" hidden="false" name="points_per_win" vbProcedure="false">Sim_Config!$B$6</definedName>
    <definedName function="false" hidden="false" name="sample_seed" vbProcedure="false">Sim_Config!$B$18</definedName>
    <definedName function="false" hidden="false" name="teams_per_season" vbProcedure="false">Sim_Config!$B$7</definedName>
    <definedName function="false" hidden="false" name="weeks_per_season" vbProcedure="false">Sim_Config!$B$5</definedName>
    <definedName function="false" hidden="false" name="w_defence" vbProcedure="false">Sim_Config!$B$9</definedName>
    <definedName function="false" hidden="false" name="w_offence" vbProcedure="false">Sim_Config!$B$8</definedName>
    <definedName function="false" hidden="false" name="w_special_teams" vbProcedure="false">Sim_Config!$B$10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<sst xmlns="http://schemas.openxmlformats.org/spreadsheetml/2006/main" count="3121" uniqueCount="969">
  <si>
    <t xml:space="preserve">Game Outcome Simulator  |  Kanboard #2300  |  Schema v0.1</t>
  </si>
  <si>
    <t xml:space="preserve">Owners Daniel + Adnan (Jashwant supporting). Prepared for the Oct 12 team meeting.</t>
  </si>
  <si>
    <t xml:space="preserve">Goal</t>
  </si>
  <si>
    <t xml:space="preserve">Replace the 1,200,000 coin lump sum with coins earned from game results. DM side defines the game outcome data first, a simulator fills it now, the MGI AI team's live data replaces it later. DM systems and LoopLab never care which source produced a row.</t>
  </si>
  <si>
    <t xml:space="preserve">Build choice</t>
  </si>
  <si>
    <t xml:space="preserve">Standalone Python script in MGI_Monorepo/Tools/GameOutcomeSimulator (outside Assets). Reads the same StreamingAssets JSON as the game. Outputs CSV for LoopLab and JSON for DM systems testing. Reference implementation gos_sim.py is attached and generated every sample in this workbook.</t>
  </si>
  <si>
    <t xml:space="preserve">What the professor asked (Coin Logic thread, Oct 2)</t>
  </si>
  <si>
    <t xml:space="preserve">Ask</t>
  </si>
  <si>
    <t xml:space="preserve">Where it is covered</t>
  </si>
  <si>
    <t xml:space="preserve">Define exactly what a completed game must output for DM consumption</t>
  </si>
  <si>
    <t xml:space="preserve">Schema_GameOutcome, Schema_SeasonSummary</t>
  </si>
  <si>
    <t xml:space="preserve">Win/Loss</t>
  </si>
  <si>
    <t xml:space="preserve">result</t>
  </si>
  <si>
    <t xml:space="preserve">Score</t>
  </si>
  <si>
    <t xml:space="preserve">points_for, points_against, margin</t>
  </si>
  <si>
    <t xml:space="preserve">Win count</t>
  </si>
  <si>
    <t xml:space="preserve">wins_to_date (per game), wins (per season)</t>
  </si>
  <si>
    <t xml:space="preserve">League/division</t>
  </si>
  <si>
    <t xml:space="preserve">league, division</t>
  </si>
  <si>
    <t xml:space="preserve">Streaks</t>
  </si>
  <si>
    <t xml:space="preserve">current_streak (per game), longest_win_streak (per season)</t>
  </si>
  <si>
    <t xml:space="preserve">Economy, Progression, Facilities, Coaches add to this list</t>
  </si>
  <si>
    <t xml:space="preserve">Consumer_Map shows each field and the code that consumes it</t>
  </si>
  <si>
    <t xml:space="preserve">Simulator data goes to LoopLab and DM systems testing</t>
  </si>
  <si>
    <t xml:space="preserve">CSV export (LoopLab) + JSON export (DM / StreamingAssets)</t>
  </si>
  <si>
    <t xml:space="preserve">Switch to live AI data later, DM systems should not care</t>
  </si>
  <si>
    <t xml:space="preserve">source field = simulator | live. Same schema, same validation</t>
  </si>
  <si>
    <t xml:space="preserve">Bhuvan: be careful simulating coin growth, fake income is the risk</t>
  </si>
  <si>
    <t xml:space="preserve">Coins come only from simulated results. Coin_Calibration is a placeholder for Economy/LoopLab to set</t>
  </si>
  <si>
    <t xml:space="preserve">Sheet guide</t>
  </si>
  <si>
    <t xml:space="preserve">Sheet</t>
  </si>
  <si>
    <t xml:space="preserve">What it is for</t>
  </si>
  <si>
    <t xml:space="preserve">Schema_GameOutcome</t>
  </si>
  <si>
    <t xml:space="preserve">THE CONTRACT. One row per team per game. Every field, type, rule, consumer</t>
  </si>
  <si>
    <t xml:space="preserve">Schema_SeasonSummary</t>
  </si>
  <si>
    <t xml:space="preserve">One row per team per season. Placement drives season rewards</t>
  </si>
  <si>
    <t xml:space="preserve">Schema_TeamInput</t>
  </si>
  <si>
    <t xml:space="preserve">What the simulator needs per team (ratings + coach bonuses)</t>
  </si>
  <si>
    <t xml:space="preserve">Team_Inputs</t>
  </si>
  <si>
    <t xml:space="preserve">Placeholder team values used in the samples. Strength is a live formula</t>
  </si>
  <si>
    <t xml:space="preserve">Consumer_Map</t>
  </si>
  <si>
    <t xml:space="preserve">Which subsystem reads which field, current values in the repo, status</t>
  </si>
  <si>
    <t xml:space="preserve">Sim_Config</t>
  </si>
  <si>
    <t xml:space="preserve">Every tunable parameter. Yellow cells are inputs</t>
  </si>
  <si>
    <t xml:space="preserve">Algorithm</t>
  </si>
  <si>
    <t xml:space="preserve">Step by step logic to replicate in code</t>
  </si>
  <si>
    <t xml:space="preserve">Win_Prob_Curve</t>
  </si>
  <si>
    <t xml:space="preserve">How strength gap turns into win chance. Reacts to Sim_Config</t>
  </si>
  <si>
    <t xml:space="preserve">Sample_Games / Sample_Standings</t>
  </si>
  <si>
    <t xml:space="preserve">One full simulated season (seed 42). Standings are formulas</t>
  </si>
  <si>
    <t xml:space="preserve">Validation</t>
  </si>
  <si>
    <t xml:space="preserve">Checks every batch must pass, sim or live. Live formulas on the sample</t>
  </si>
  <si>
    <t xml:space="preserve">Monte_Carlo</t>
  </si>
  <si>
    <t xml:space="preserve">2,000 simulated seasons (seed 7). Targets to replicate against + charts</t>
  </si>
  <si>
    <t xml:space="preserve">Coin_Calibration</t>
  </si>
  <si>
    <t xml:space="preserve">Placeholder coin rewards vs the 1,158,000 facility cost. For discussion only</t>
  </si>
  <si>
    <t xml:space="preserve">Task_Split</t>
  </si>
  <si>
    <t xml:space="preserve">Who builds what, in order, with done criteria</t>
  </si>
  <si>
    <t xml:space="preserve">Open_Questions</t>
  </si>
  <si>
    <t xml:space="preserve">Decisions needed from the team and professor</t>
  </si>
  <si>
    <t xml:space="preserve">JSON_Example</t>
  </si>
  <si>
    <t xml:space="preserve">Exact JSON shape for one game (2 rows)</t>
  </si>
  <si>
    <t xml:space="preserve">Legend</t>
  </si>
  <si>
    <t xml:space="preserve">Yellow fill, blue text</t>
  </si>
  <si>
    <t xml:space="preserve">Input or assumption. Change it and formulas update</t>
  </si>
  <si>
    <t xml:space="preserve">Black text</t>
  </si>
  <si>
    <t xml:space="preserve">Formula or simulator output</t>
  </si>
  <si>
    <t xml:space="preserve">Green text</t>
  </si>
  <si>
    <t xml:space="preserve">Pulled from another sheet</t>
  </si>
  <si>
    <t xml:space="preserve">Schema  |  game_outcomes  (one row per team per game, 2 rows per game)</t>
  </si>
  <si>
    <t xml:space="preserve">Required = must be present for both simulator and live. 'Sim only' = null when source = live.</t>
  </si>
  <si>
    <t xml:space="preserve">#</t>
  </si>
  <si>
    <t xml:space="preserve">Field</t>
  </si>
  <si>
    <t xml:space="preserve">Type</t>
  </si>
  <si>
    <t xml:space="preserve">Required</t>
  </si>
  <si>
    <t xml:space="preserve">Example</t>
  </si>
  <si>
    <t xml:space="preserve">Rule / allowed values</t>
  </si>
  <si>
    <t xml:space="preserve">Description</t>
  </si>
  <si>
    <t xml:space="preserve">Prof list</t>
  </si>
  <si>
    <t xml:space="preserve">Consumed by</t>
  </si>
  <si>
    <t xml:space="preserve">Code reference</t>
  </si>
  <si>
    <t xml:space="preserve">schema_version</t>
  </si>
  <si>
    <t xml:space="preserve">string</t>
  </si>
  <si>
    <t xml:space="preserve">Yes</t>
  </si>
  <si>
    <t xml:space="preserve">0.1</t>
  </si>
  <si>
    <t xml:space="preserve">semver, bump on any field change</t>
  </si>
  <si>
    <t xml:space="preserve">Version of this contract</t>
  </si>
  <si>
    <t xml:space="preserve">All</t>
  </si>
  <si>
    <t xml:space="preserve">source</t>
  </si>
  <si>
    <t xml:space="preserve">enum</t>
  </si>
  <si>
    <t xml:space="preserve">simulator</t>
  </si>
  <si>
    <t xml:space="preserve">simulator | live</t>
  </si>
  <si>
    <t xml:space="preserve">Who produced the row. The only thing that changes when we switch to the AI feed</t>
  </si>
  <si>
    <t xml:space="preserve">Prof architecture (switch data streams)</t>
  </si>
  <si>
    <t xml:space="preserve">run_id</t>
  </si>
  <si>
    <t xml:space="preserve">run-42</t>
  </si>
  <si>
    <t xml:space="preserve">Batch id grouping one simulator run (live uses its own batch id)</t>
  </si>
  <si>
    <t xml:space="preserve">LoopLab</t>
  </si>
  <si>
    <t xml:space="preserve">seed</t>
  </si>
  <si>
    <t xml:space="preserve">int</t>
  </si>
  <si>
    <t xml:space="preserve">Sim only</t>
  </si>
  <si>
    <t xml:space="preserve">null for live</t>
  </si>
  <si>
    <t xml:space="preserve">RNG seed. Same seed + same config = identical output</t>
  </si>
  <si>
    <t xml:space="preserve">season_id</t>
  </si>
  <si>
    <t xml:space="preserve">S0001</t>
  </si>
  <si>
    <t xml:space="preserve">Season identifier</t>
  </si>
  <si>
    <t xml:space="preserve">Progression</t>
  </si>
  <si>
    <t xml:space="preserve">SeasonSaveData.season_id</t>
  </si>
  <si>
    <t xml:space="preserve">week</t>
  </si>
  <si>
    <t xml:space="preserve">1 .. weeks_per_season</t>
  </si>
  <si>
    <t xml:space="preserve">Week number</t>
  </si>
  <si>
    <t xml:space="preserve">LocalSeasonBackend.current_week</t>
  </si>
  <si>
    <t xml:space="preserve">game_id</t>
  </si>
  <si>
    <t xml:space="preserve">S0001-w01-g01</t>
  </si>
  <si>
    <t xml:space="preserve">exactly 2 rows per game_id</t>
  </si>
  <si>
    <t xml:space="preserve">One id per game, shared by both teams' rows</t>
  </si>
  <si>
    <t xml:space="preserve">event_id</t>
  </si>
  <si>
    <t xml:space="preserve">S0001-w01-g01:&lt;team_id&gt;</t>
  </si>
  <si>
    <t xml:space="preserve">unique across all rows</t>
  </si>
  <si>
    <t xml:space="preserve">Idempotency key so a reward is never granted twice for the same game</t>
  </si>
  <si>
    <t xml:space="preserve">Economy, Progression, Coaches</t>
  </si>
  <si>
    <t xml:space="preserve">ProgressionService.AddXp(eventId). Today: "{season}:week:{n}:match"</t>
  </si>
  <si>
    <t xml:space="preserve">game_type</t>
  </si>
  <si>
    <t xml:space="preserve">regular</t>
  </si>
  <si>
    <t xml:space="preserve">regular | playoff</t>
  </si>
  <si>
    <t xml:space="preserve">Playoffs are future scope (BracketUI exists)</t>
  </si>
  <si>
    <t xml:space="preserve">Progression/UI/BracketUI.cs</t>
  </si>
  <si>
    <t xml:space="preserve">played_at</t>
  </si>
  <si>
    <t xml:space="preserve">ISO-8601 UTC</t>
  </si>
  <si>
    <t xml:space="preserve">2026-09-06T18:00:00Z</t>
  </si>
  <si>
    <t xml:space="preserve">When the game finished</t>
  </si>
  <si>
    <t xml:space="preserve">Economy ledger</t>
  </si>
  <si>
    <t xml:space="preserve">WalletTransaction.timestamp</t>
  </si>
  <si>
    <t xml:space="preserve">team_id</t>
  </si>
  <si>
    <t xml:space="preserve">GUID</t>
  </si>
  <si>
    <t xml:space="preserve">22dda48d-...</t>
  </si>
  <si>
    <t xml:space="preserve">exists in team list for the season</t>
  </si>
  <si>
    <t xml:space="preserve">This row's team</t>
  </si>
  <si>
    <t xml:space="preserve">team.json team_id. PR 92: id regenerates per season, use is_player_team for the user</t>
  </si>
  <si>
    <t xml:space="preserve">team_name</t>
  </si>
  <si>
    <t xml:space="preserve">Buffalo Bills</t>
  </si>
  <si>
    <t xml:space="preserve">Display name</t>
  </si>
  <si>
    <t xml:space="preserve">UI, LoopLab</t>
  </si>
  <si>
    <t xml:space="preserve">team.json team_name</t>
  </si>
  <si>
    <t xml:space="preserve">is_player_team</t>
  </si>
  <si>
    <t xml:space="preserve">bool</t>
  </si>
  <si>
    <t xml:space="preserve">FALSE</t>
  </si>
  <si>
    <t xml:space="preserve">exactly 1 TRUE row per week</t>
  </si>
  <si>
    <t xml:space="preserve">Marks the user's team. Rewards only go to this team</t>
  </si>
  <si>
    <t xml:space="preserve">AwardSeasonRewards (PR 92)</t>
  </si>
  <si>
    <t xml:space="preserve">player_id</t>
  </si>
  <si>
    <t xml:space="preserve">If player team</t>
  </si>
  <si>
    <t xml:space="preserve">player_001</t>
  </si>
  <si>
    <t xml:space="preserve">blank when is_player_team = FALSE</t>
  </si>
  <si>
    <t xml:space="preserve">Owner of wallet and progression</t>
  </si>
  <si>
    <t xml:space="preserve">Economy, Progression</t>
  </si>
  <si>
    <t xml:space="preserve">AddXp(playerId), EconomyService.AddCurrency(playerId, ...)</t>
  </si>
  <si>
    <t xml:space="preserve">league</t>
  </si>
  <si>
    <t xml:space="preserve">NFL</t>
  </si>
  <si>
    <t xml:space="preserve">NFL | NFL-Historic | NCAA (team.json)</t>
  </si>
  <si>
    <t xml:space="preserve">League of the team</t>
  </si>
  <si>
    <t xml:space="preserve">Economy / Facilities (future league caps)</t>
  </si>
  <si>
    <t xml:space="preserve">team.json league</t>
  </si>
  <si>
    <t xml:space="preserve">division</t>
  </si>
  <si>
    <t xml:space="preserve">East</t>
  </si>
  <si>
    <t xml:space="preserve">Division inside the league</t>
  </si>
  <si>
    <t xml:space="preserve">Standings, future league caps</t>
  </si>
  <si>
    <t xml:space="preserve">Not in repo yet</t>
  </si>
  <si>
    <t xml:space="preserve">opponent_id</t>
  </si>
  <si>
    <t xml:space="preserve">00000000-...-0001</t>
  </si>
  <si>
    <t xml:space="preserve">Opponent team_id</t>
  </si>
  <si>
    <t xml:space="preserve">opponent_name</t>
  </si>
  <si>
    <t xml:space="preserve">Player Team</t>
  </si>
  <si>
    <t xml:space="preserve">Opponent display name</t>
  </si>
  <si>
    <t xml:space="preserve">home_away</t>
  </si>
  <si>
    <t xml:space="preserve">home</t>
  </si>
  <si>
    <t xml:space="preserve">home | away</t>
  </si>
  <si>
    <t xml:space="preserve">Venue</t>
  </si>
  <si>
    <t xml:space="preserve">W</t>
  </si>
  <si>
    <t xml:space="preserve">W | L  (no ties in v0.1)</t>
  </si>
  <si>
    <t xml:space="preserve">Game result for this team</t>
  </si>
  <si>
    <t xml:space="preserve">Progression XP, Coaches bonus, Economy coins</t>
  </si>
  <si>
    <t xml:space="preserve">AwardMatchXp, coaches_bonus_config.json xp_source = win</t>
  </si>
  <si>
    <t xml:space="preserve">points_for</t>
  </si>
  <si>
    <t xml:space="preserve">int &gt;= 0</t>
  </si>
  <si>
    <t xml:space="preserve">W exactly when points_for &gt; points_against</t>
  </si>
  <si>
    <t xml:space="preserve">Score for this team</t>
  </si>
  <si>
    <t xml:space="preserve">Economy (optional margin bonus), LoopLab</t>
  </si>
  <si>
    <t xml:space="preserve">points_against</t>
  </si>
  <si>
    <t xml:space="preserve">Score for opponent</t>
  </si>
  <si>
    <t xml:space="preserve">margin</t>
  </si>
  <si>
    <t xml:space="preserve">equals points_for - points_against</t>
  </si>
  <si>
    <t xml:space="preserve">Derived, included for convenience</t>
  </si>
  <si>
    <t xml:space="preserve">wins_to_date</t>
  </si>
  <si>
    <t xml:space="preserve">running count incl. this game</t>
  </si>
  <si>
    <t xml:space="preserve">Win count so far this season</t>
  </si>
  <si>
    <t xml:space="preserve">Win count gates, Progression</t>
  </si>
  <si>
    <t xml:space="preserve">team.stats.wins</t>
  </si>
  <si>
    <t xml:space="preserve">losses_to_date</t>
  </si>
  <si>
    <t xml:space="preserve">Loss count so far this season</t>
  </si>
  <si>
    <t xml:space="preserve">team.stats.losses</t>
  </si>
  <si>
    <t xml:space="preserve">current_streak</t>
  </si>
  <si>
    <t xml:space="preserve">+N = N wins in a row, -N = N losses</t>
  </si>
  <si>
    <t xml:space="preserve">Streak after this game</t>
  </si>
  <si>
    <t xml:space="preserve">Progression consecutive_win_bonus</t>
  </si>
  <si>
    <t xml:space="preserve">progression.json consecutive_win_bonus = 2 (not coded yet)</t>
  </si>
  <si>
    <t xml:space="preserve">standing_points_to_date</t>
  </si>
  <si>
    <t xml:space="preserve">equals wins_to_date x points_per_win</t>
  </si>
  <si>
    <t xml:space="preserve">League table points</t>
  </si>
  <si>
    <t xml:space="preserve">Progression standings</t>
  </si>
  <si>
    <t xml:space="preserve">team.stats.points = wins * 2</t>
  </si>
  <si>
    <t xml:space="preserve">team_strength</t>
  </si>
  <si>
    <t xml:space="preserve">float</t>
  </si>
  <si>
    <t xml:space="preserve">Strength the simulator used for this team</t>
  </si>
  <si>
    <t xml:space="preserve">LoopLab analysis</t>
  </si>
  <si>
    <t xml:space="preserve">opponent_strength</t>
  </si>
  <si>
    <t xml:space="preserve">Strength the simulator used for the opponent</t>
  </si>
  <si>
    <t xml:space="preserve">win_probability</t>
  </si>
  <si>
    <t xml:space="preserve">float 0..1</t>
  </si>
  <si>
    <t xml:space="preserve">the 2 rows of a game sum to 1</t>
  </si>
  <si>
    <t xml:space="preserve">Pre-game chance this team wins</t>
  </si>
  <si>
    <t xml:space="preserve">Schema  |  season_summary  (one row per team per season)</t>
  </si>
  <si>
    <t xml:space="preserve">Produced after the last week. Placement drives season rewards.</t>
  </si>
  <si>
    <t xml:space="preserve">Contract version</t>
  </si>
  <si>
    <t xml:space="preserve">Producer</t>
  </si>
  <si>
    <t xml:space="preserve">Batch id</t>
  </si>
  <si>
    <t xml:space="preserve">Season</t>
  </si>
  <si>
    <t xml:space="preserve">Team</t>
  </si>
  <si>
    <t xml:space="preserve">UI</t>
  </si>
  <si>
    <t xml:space="preserve">TRUE</t>
  </si>
  <si>
    <t xml:space="preserve">exactly 1 per season</t>
  </si>
  <si>
    <t xml:space="preserve">User's team</t>
  </si>
  <si>
    <t xml:space="preserve">AwardSeasonRewards</t>
  </si>
  <si>
    <t xml:space="preserve">Owner</t>
  </si>
  <si>
    <t xml:space="preserve">League</t>
  </si>
  <si>
    <t xml:space="preserve">Future league caps</t>
  </si>
  <si>
    <t xml:space="preserve">West</t>
  </si>
  <si>
    <t xml:space="preserve">Division</t>
  </si>
  <si>
    <t xml:space="preserve">Standings</t>
  </si>
  <si>
    <t xml:space="preserve">games_played</t>
  </si>
  <si>
    <t xml:space="preserve">equals weeks_per_season</t>
  </si>
  <si>
    <t xml:space="preserve">Games played</t>
  </si>
  <si>
    <t xml:space="preserve">wins</t>
  </si>
  <si>
    <t xml:space="preserve">wins + losses = games_played</t>
  </si>
  <si>
    <t xml:space="preserve">Season win count</t>
  </si>
  <si>
    <t xml:space="preserve">Win count gates</t>
  </si>
  <si>
    <t xml:space="preserve">losses</t>
  </si>
  <si>
    <t xml:space="preserve">Season losses</t>
  </si>
  <si>
    <t xml:space="preserve">standing_points</t>
  </si>
  <si>
    <t xml:space="preserve">equals wins x points_per_win</t>
  </si>
  <si>
    <t xml:space="preserve">Table points</t>
  </si>
  <si>
    <t xml:space="preserve">team.stats.points</t>
  </si>
  <si>
    <t xml:space="preserve">Total scored</t>
  </si>
  <si>
    <t xml:space="preserve">Tiebreak, LoopLab</t>
  </si>
  <si>
    <t xml:space="preserve">Total conceded</t>
  </si>
  <si>
    <t xml:space="preserve">point_diff</t>
  </si>
  <si>
    <t xml:space="preserve">Tiebreak 1</t>
  </si>
  <si>
    <t xml:space="preserve">Tiebreak</t>
  </si>
  <si>
    <t xml:space="preserve">longest_win_streak</t>
  </si>
  <si>
    <t xml:space="preserve">&gt;= 0</t>
  </si>
  <si>
    <t xml:space="preserve">Best streak in season</t>
  </si>
  <si>
    <t xml:space="preserve">Progression, LoopLab</t>
  </si>
  <si>
    <t xml:space="preserve">placement</t>
  </si>
  <si>
    <t xml:space="preserve">1..N unique. Sort: points, then point_diff, then points_for, then team_id</t>
  </si>
  <si>
    <t xml:space="preserve">Final rank</t>
  </si>
  <si>
    <t xml:space="preserve">Progression season XP (50/30/15), proposed coin bonus</t>
  </si>
  <si>
    <t xml:space="preserve">LocalSeasonBackend.AwardSeasonRewards</t>
  </si>
  <si>
    <t xml:space="preserve">Sim strength</t>
  </si>
  <si>
    <t xml:space="preserve">Schema  |  team_inputs  (what the simulator reads per team)</t>
  </si>
  <si>
    <t xml:space="preserve">Today team.json has every rating = 1.0, so real values are an open question. Coach bonuses follow Jashwant's 3 rolled-up bonus proposal.</t>
  </si>
  <si>
    <t xml:space="preserve">Range</t>
  </si>
  <si>
    <t xml:space="preserve">Source today</t>
  </si>
  <si>
    <t xml:space="preserve">team.json team_id</t>
  </si>
  <si>
    <t xml:space="preserve">Team key</t>
  </si>
  <si>
    <t xml:space="preserve">Not in repo. Assigned by simulator config</t>
  </si>
  <si>
    <t xml:space="preserve">offence_rating</t>
  </si>
  <si>
    <t xml:space="preserve">0 - 100</t>
  </si>
  <si>
    <t xml:space="preserve">team.json offence_rating (all 1.0 today)</t>
  </si>
  <si>
    <t xml:space="preserve">Offence strength</t>
  </si>
  <si>
    <t xml:space="preserve">defence_rating</t>
  </si>
  <si>
    <t xml:space="preserve">team.json defence_rating (all 1.0 today)</t>
  </si>
  <si>
    <t xml:space="preserve">Defence strength</t>
  </si>
  <si>
    <t xml:space="preserve">special_teams_rating</t>
  </si>
  <si>
    <t xml:space="preserve">team.json special_teams_rating (all 1.0 today)</t>
  </si>
  <si>
    <t xml:space="preserve">Special teams strength</t>
  </si>
  <si>
    <t xml:space="preserve">coach_offence_bonus</t>
  </si>
  <si>
    <t xml:space="preserve">0 - 0.10</t>
  </si>
  <si>
    <t xml:space="preserve">Coaches subsystem, rolled-up O bonus (Jashwant)</t>
  </si>
  <si>
    <t xml:space="preserve">Multiplier on offence: off x (1 + bonus)</t>
  </si>
  <si>
    <t xml:space="preserve">coach_defence_bonus</t>
  </si>
  <si>
    <t xml:space="preserve">Coaches subsystem, rolled-up D bonus (Jashwant)</t>
  </si>
  <si>
    <t xml:space="preserve">Multiplier on defence</t>
  </si>
  <si>
    <t xml:space="preserve">coach_special_teams_bonus</t>
  </si>
  <si>
    <t xml:space="preserve">Coaches subsystem, rolled-up ST bonus (Jashwant)</t>
  </si>
  <si>
    <t xml:space="preserve">Multiplier on special teams</t>
  </si>
  <si>
    <t xml:space="preserve">Season creation (CreateSeason playerTeamName)</t>
  </si>
  <si>
    <t xml:space="preserve">Sim_Config  |  every tunable parameter</t>
  </si>
  <si>
    <t xml:space="preserve">Yellow cells are inputs. Other sheets reference these cells by name.</t>
  </si>
  <si>
    <t xml:space="preserve">Parameter</t>
  </si>
  <si>
    <t xml:space="preserve">Value</t>
  </si>
  <si>
    <t xml:space="preserve">Unit</t>
  </si>
  <si>
    <t xml:space="preserve">Why this default</t>
  </si>
  <si>
    <t xml:space="preserve">weeks_per_season</t>
  </si>
  <si>
    <t xml:space="preserve">weeks</t>
  </si>
  <si>
    <t xml:space="preserve">Matches LocalSeasonBackend total_weeks = 10</t>
  </si>
  <si>
    <t xml:space="preserve">points_per_win</t>
  </si>
  <si>
    <t xml:space="preserve">points</t>
  </si>
  <si>
    <t xml:space="preserve">Matches team.stats.points = wins * 2</t>
  </si>
  <si>
    <t xml:space="preserve">teams_per_season</t>
  </si>
  <si>
    <t xml:space="preserve">teams</t>
  </si>
  <si>
    <t xml:space="preserve">11 NFL teams in team.json + the player's team. Must be even for round robin</t>
  </si>
  <si>
    <t xml:space="preserve">w_offence</t>
  </si>
  <si>
    <t xml:space="preserve">weight</t>
  </si>
  <si>
    <t xml:space="preserve">Strength weights must sum to 1</t>
  </si>
  <si>
    <t xml:space="preserve">w_defence</t>
  </si>
  <si>
    <t xml:space="preserve">w_special_teams</t>
  </si>
  <si>
    <t xml:space="preserve">k</t>
  </si>
  <si>
    <t xml:space="preserve">per strength pt</t>
  </si>
  <si>
    <t xml:space="preserve">10 point strength gap -&gt; about 69% win chance</t>
  </si>
  <si>
    <t xml:space="preserve">home_advantage</t>
  </si>
  <si>
    <t xml:space="preserve">strength pts</t>
  </si>
  <si>
    <t xml:space="preserve">About +4% win chance for the home team</t>
  </si>
  <si>
    <t xml:space="preserve">loser_score_mean</t>
  </si>
  <si>
    <t xml:space="preserve">Football-like losing score</t>
  </si>
  <si>
    <t xml:space="preserve">loser_score_sd</t>
  </si>
  <si>
    <t xml:space="preserve">margin_base</t>
  </si>
  <si>
    <t xml:space="preserve">Typical margin between equal teams</t>
  </si>
  <si>
    <t xml:space="preserve">margin_per_strength</t>
  </si>
  <si>
    <t xml:space="preserve">pts per strength pt</t>
  </si>
  <si>
    <t xml:space="preserve">Bigger gap -&gt; bigger wins</t>
  </si>
  <si>
    <t xml:space="preserve">margin_sd</t>
  </si>
  <si>
    <t xml:space="preserve">sample_seed</t>
  </si>
  <si>
    <t xml:space="preserve">Seed for Sample_Games</t>
  </si>
  <si>
    <t xml:space="preserve">monte_carlo_seed</t>
  </si>
  <si>
    <t xml:space="preserve">Seed for Monte_Carlo</t>
  </si>
  <si>
    <t xml:space="preserve">monte_carlo_seasons</t>
  </si>
  <si>
    <t xml:space="preserve">seasons</t>
  </si>
  <si>
    <t xml:space="preserve">weight check (must be 1)</t>
  </si>
  <si>
    <t xml:space="preserve">Team_Inputs  |  placeholder values used for every sample</t>
  </si>
  <si>
    <t xml:space="preserve">Names and team_ids are real (team.json, league NFL). Ratings and coach bonuses are invented tiers until Q1 is answered.</t>
  </si>
  <si>
    <t xml:space="preserve">team_strength (formula)</t>
  </si>
  <si>
    <t xml:space="preserve">22dda48d-9e4d-469d-8e17-eb48dd5a58d7</t>
  </si>
  <si>
    <t xml:space="preserve">4379eea3-230b-4c63-8c33-06dacd51a349</t>
  </si>
  <si>
    <t xml:space="preserve">New England Patriots</t>
  </si>
  <si>
    <t xml:space="preserve">88e80e3c-3511-403f-9033-332c76820e54</t>
  </si>
  <si>
    <t xml:space="preserve">New York Giants</t>
  </si>
  <si>
    <t xml:space="preserve">3d743b76-bc76-4249-b550-d5a09b0e071a</t>
  </si>
  <si>
    <t xml:space="preserve">Dallas Cowboys</t>
  </si>
  <si>
    <t xml:space="preserve">e6c4ce63-cbef-4e01-ba5f-804a984024ee</t>
  </si>
  <si>
    <t xml:space="preserve">Cincinnati Bengals</t>
  </si>
  <si>
    <t xml:space="preserve">db3ed416-54bc-44d6-86dc-49b6cc79a2ef</t>
  </si>
  <si>
    <t xml:space="preserve">Cleveland Browns</t>
  </si>
  <si>
    <t xml:space="preserve">466adf39-b0a1-4b20-ba94-f22a82ff92a2</t>
  </si>
  <si>
    <t xml:space="preserve">Los Angeles Rams</t>
  </si>
  <si>
    <t xml:space="preserve">a866ce30-5869-4188-b93b-d415e1f97a9e</t>
  </si>
  <si>
    <t xml:space="preserve">Denver Broncos</t>
  </si>
  <si>
    <t xml:space="preserve">64336ace-1ead-4eed-a112-3d402edc6d84</t>
  </si>
  <si>
    <t xml:space="preserve">New Orleans Saints</t>
  </si>
  <si>
    <t xml:space="preserve">7e907f08-6389-4d4f-b2b1-a4899a80a576</t>
  </si>
  <si>
    <t xml:space="preserve">Chicago Bears</t>
  </si>
  <si>
    <t xml:space="preserve">d6d0b322-6a53-4df9-9ae1-5abb357a05ef</t>
  </si>
  <si>
    <t xml:space="preserve">Carolina Panthers</t>
  </si>
  <si>
    <t xml:space="preserve">00000000-0000-0000-0000-000000000001</t>
  </si>
  <si>
    <t xml:space="preserve">Consumer_Map  |  who reads which field, and what the repo does today</t>
  </si>
  <si>
    <t xml:space="preserve">From MGI_Monorepo origin/main. Status: Wired = code exists, Config only = value exists but no code, Missing = nothing yet.</t>
  </si>
  <si>
    <t xml:space="preserve">Subsystem</t>
  </si>
  <si>
    <t xml:space="preserve">Field(s)</t>
  </si>
  <si>
    <t xml:space="preserve">What happens</t>
  </si>
  <si>
    <t xml:space="preserve">Current value in repo</t>
  </si>
  <si>
    <t xml:space="preserve">File / method</t>
  </si>
  <si>
    <t xml:space="preserve">Status</t>
  </si>
  <si>
    <t xml:space="preserve">Match XP for the player team: played + win or loss bonus</t>
  </si>
  <si>
    <t xml:space="preserve">5 played, +10 win, +2 loss</t>
  </si>
  <si>
    <t xml:space="preserve">LocalSeasonBackend.AwardMatchXp, progression.json xp_reward_rules</t>
  </si>
  <si>
    <t xml:space="preserve">Wired</t>
  </si>
  <si>
    <t xml:space="preserve">placement, is_player_team</t>
  </si>
  <si>
    <t xml:space="preserve">Season-end XP for top 3</t>
  </si>
  <si>
    <t xml:space="preserve">1st 50, 2nd 30, 3rd 15, else 0</t>
  </si>
  <si>
    <t xml:space="preserve">Consecutive win bonus</t>
  </si>
  <si>
    <t xml:space="preserve">2</t>
  </si>
  <si>
    <t xml:space="preserve">progression.json xp_calculation.consecutive_win_bonus</t>
  </si>
  <si>
    <t xml:space="preserve">Config only</t>
  </si>
  <si>
    <t xml:space="preserve">standing_points_to_date, week</t>
  </si>
  <si>
    <t xml:space="preserve">Standings and season length</t>
  </si>
  <si>
    <t xml:space="preserve">points = wins x 2, 10 weeks</t>
  </si>
  <si>
    <t xml:space="preserve">LocalSeasonBackend.SimulateWeek / CreateSeason</t>
  </si>
  <si>
    <t xml:space="preserve">(today's source)</t>
  </si>
  <si>
    <t xml:space="preserve">Every match is a 50/50 coin flip, unseeded, ratings ignored, teams do not play each other so league wins != losses</t>
  </si>
  <si>
    <t xml:space="preserve">random.NextDouble() &gt; 0.5</t>
  </si>
  <si>
    <t xml:space="preserve">LocalSeasonBackend.SimulateWeek lines 173-205</t>
  </si>
  <si>
    <t xml:space="preserve">Bug / replace</t>
  </si>
  <si>
    <t xml:space="preserve">Facilities</t>
  </si>
  <si>
    <t xml:space="preserve">via Progression XP</t>
  </si>
  <si>
    <t xml:space="preserve">Facility level multiplies Progression XP</t>
  </si>
  <si>
    <t xml:space="preserve">per facility level</t>
  </si>
  <si>
    <t xml:space="preserve">FacilitiesService.GetProgressionXpMultiplier</t>
  </si>
  <si>
    <t xml:space="preserve">via Economy coins</t>
  </si>
  <si>
    <t xml:space="preserve">Coin sink: upgrade all 3 rooms to max</t>
  </si>
  <si>
    <t xml:space="preserve">Weight 477,000 + Film 296,000 + Rehab 385,000 = 1,158,000</t>
  </si>
  <si>
    <t xml:space="preserve">facilities_config.json facility_definitions</t>
  </si>
  <si>
    <t xml:space="preserve">via Progression tier</t>
  </si>
  <si>
    <t xml:space="preserve">Upgrade gates by tier</t>
  </si>
  <si>
    <t xml:space="preserve">rookie 2, pro 3, all_star 4, legend 5</t>
  </si>
  <si>
    <t xml:space="preserve">facilities_config.json tier_upgrade_gates</t>
  </si>
  <si>
    <t xml:space="preserve">Coaches</t>
  </si>
  <si>
    <t xml:space="preserve">result = W</t>
  </si>
  <si>
    <t xml:space="preserve">Coach XP bonus for O and D coaches, synergy when both hired, floored</t>
  </si>
  <si>
    <t xml:space="preserve">0.03 + rating x 0.0004, synergy +0.02</t>
  </si>
  <si>
    <t xml:space="preserve">coaches_bonus_config.json</t>
  </si>
  <si>
    <t xml:space="preserve">(input to sim)</t>
  </si>
  <si>
    <t xml:space="preserve">Rolled-up O / D / ST bonuses feed team strength</t>
  </si>
  <si>
    <t xml:space="preserve">Proposed by Jashwant</t>
  </si>
  <si>
    <t xml:space="preserve">Coaches subsystem -&gt; Team_Inputs</t>
  </si>
  <si>
    <t xml:space="preserve">Proposed</t>
  </si>
  <si>
    <t xml:space="preserve">Economy</t>
  </si>
  <si>
    <t xml:space="preserve">result, placement, event_id</t>
  </si>
  <si>
    <t xml:space="preserve">Coins per game / win / placement (replaces the lump sum)</t>
  </si>
  <si>
    <t xml:space="preserve">None. 1,200,000 lump sum</t>
  </si>
  <si>
    <t xml:space="preserve">EconomyService.AddCurrency(playerId, coins, gems, source)</t>
  </si>
  <si>
    <t xml:space="preserve">Missing</t>
  </si>
  <si>
    <t xml:space="preserve">event_id, played_at</t>
  </si>
  <si>
    <t xml:space="preserve">Ledger idempotency and timestamp</t>
  </si>
  <si>
    <t xml:space="preserve">API exists, no caller</t>
  </si>
  <si>
    <t xml:space="preserve">WalletTransaction / GetRecentTransactions</t>
  </si>
  <si>
    <t xml:space="preserve">Wired API</t>
  </si>
  <si>
    <t xml:space="preserve">Economy / Facilities</t>
  </si>
  <si>
    <t xml:space="preserve">wins_to_date, league, division</t>
  </si>
  <si>
    <t xml:space="preserve">Win count gates, league caps (Sept 25 brainstorm list)</t>
  </si>
  <si>
    <t xml:space="preserve">None</t>
  </si>
  <si>
    <t xml:space="preserve">Future</t>
  </si>
  <si>
    <t xml:space="preserve">CCAS</t>
  </si>
  <si>
    <t xml:space="preserve">?</t>
  </si>
  <si>
    <t xml:space="preserve">Pack rewards on results?</t>
  </si>
  <si>
    <t xml:space="preserve">Unknown</t>
  </si>
  <si>
    <t xml:space="preserve">StreamingAssets/CCAS/phase1_config.json, phase2_config.json</t>
  </si>
  <si>
    <t xml:space="preserve">Open (Q13)</t>
  </si>
  <si>
    <t xml:space="preserve">Algorithm  |  replicate this step by step</t>
  </si>
  <si>
    <t xml:space="preserve">Reference code: gos_sim.py (function names in column D).</t>
  </si>
  <si>
    <t xml:space="preserve">Step</t>
  </si>
  <si>
    <t xml:space="preserve">What</t>
  </si>
  <si>
    <t xml:space="preserve">Exact logic</t>
  </si>
  <si>
    <t xml:space="preserve">Function in gos_sim.py</t>
  </si>
  <si>
    <t xml:space="preserve">Load inputs</t>
  </si>
  <si>
    <t xml:space="preserve">Read Sim_Config + team inputs. v0.1: hardcoded tables. v0.2: load team.json, progression.json, coaches_bonus_config.json, facilities_config.json from StreamingAssets</t>
  </si>
  <si>
    <t xml:space="preserve">CONFIG, TEAMS</t>
  </si>
  <si>
    <t xml:space="preserve">Team strength</t>
  </si>
  <si>
    <t xml:space="preserve">S = w_offence x off x (1 + coach_o) + w_defence x def x (1 + coach_d) + w_special_teams x st x (1 + coach_st)</t>
  </si>
  <si>
    <t xml:space="preserve">team_strength()</t>
  </si>
  <si>
    <t xml:space="preserve">Schedule</t>
  </si>
  <si>
    <t xml:space="preserve">Circle round robin. N teams (even). Fix team 0, rotate the rest. Take the first weeks_per_season rounds. Pair i: (idx[i], idx[N-1-i]), flip home/away when (round + i) is odd</t>
  </si>
  <si>
    <t xml:space="preserve">round_robin()</t>
  </si>
  <si>
    <t xml:space="preserve">Win chance</t>
  </si>
  <si>
    <t xml:space="preserve">p_home = 1 / (1 + exp(-k x (S_home - S_away + home_advantage)))</t>
  </si>
  <si>
    <t xml:space="preserve">win_probability()</t>
  </si>
  <si>
    <t xml:space="preserve">Decide winner</t>
  </si>
  <si>
    <t xml:space="preserve">u = rng.random(). Home wins if u &lt; p_home. ONE rng seeded once per run, never reseeded per game</t>
  </si>
  <si>
    <t xml:space="preserve">simulate_season()</t>
  </si>
  <si>
    <t xml:space="preserve">loser = max(0, round(N(loser_score_mean, loser_score_sd))). margin = max(1, round(|N(margin_base + margin_per_strength x |S_home - S_away|, margin_sd)|)). winner = loser + margin. No ties</t>
  </si>
  <si>
    <t xml:space="preserve">Emit rows</t>
  </si>
  <si>
    <t xml:space="preserve">2 rows per game (home first, then away). Update running wins, losses, points_for, points_against, streak (+1 or reset to +1 on win, -1 or reset to -1 on loss), standing points</t>
  </si>
  <si>
    <t xml:space="preserve">After the last week sort by standing_points desc, point_diff desc, points_for desc, team_id asc. Placement = position (1..N)</t>
  </si>
  <si>
    <t xml:space="preserve">Many seasons</t>
  </si>
  <si>
    <t xml:space="preserve">Repeat steps 3-8 for --seasons N with the same rng. season_id = S0001, S0002 ...</t>
  </si>
  <si>
    <t xml:space="preserve">run()</t>
  </si>
  <si>
    <t xml:space="preserve">Validate</t>
  </si>
  <si>
    <t xml:space="preserve">Run every check on the Validation sheet. Refuse to export if any fails</t>
  </si>
  <si>
    <t xml:space="preserve">validate()</t>
  </si>
  <si>
    <t xml:space="preserve">Export</t>
  </si>
  <si>
    <t xml:space="preserve">game_outcomes.csv + season_summary.csv for LoopLab. game_outcomes.json {schema_version, games, seasons} for DM systems</t>
  </si>
  <si>
    <t xml:space="preserve">write()</t>
  </si>
  <si>
    <t xml:space="preserve">Replication target</t>
  </si>
  <si>
    <t xml:space="preserve">Exact rows will differ across languages (different RNGs). Instead: run 2,000 seasons with default config, each team's average wins must be within +/- 0.15 of the Monte_Carlo sheet</t>
  </si>
  <si>
    <t xml:space="preserve">Win_Prob_Curve  |  strength gap -&gt; win chance</t>
  </si>
  <si>
    <t xml:space="preserve">Formulas read k and home_advantage from Sim_Config. Change them there and the chart moves.</t>
  </si>
  <si>
    <t xml:space="preserve">Strength gap (team - opponent)</t>
  </si>
  <si>
    <t xml:space="preserve">P(win) at home</t>
  </si>
  <si>
    <t xml:space="preserve">P(win) neutral</t>
  </si>
  <si>
    <t xml:space="preserve">P(win) away</t>
  </si>
  <si>
    <t xml:space="preserve">S0001-w01-g01:22dda48d-9e4d-469d-8e17-eb48dd5a58d7</t>
  </si>
  <si>
    <t xml:space="preserve">2026-09-06T18:00:00+00:00</t>
  </si>
  <si>
    <t xml:space="preserve">S0001-w01-g01:00000000-0000-0000-0000-000000000001</t>
  </si>
  <si>
    <t xml:space="preserve">away</t>
  </si>
  <si>
    <t xml:space="preserve">L</t>
  </si>
  <si>
    <t xml:space="preserve">S0001-w01-g02</t>
  </si>
  <si>
    <t xml:space="preserve">S0001-w01-g02:d6d0b322-6a53-4df9-9ae1-5abb357a05ef</t>
  </si>
  <si>
    <t xml:space="preserve">S0001-w01-g02:4379eea3-230b-4c63-8c33-06dacd51a349</t>
  </si>
  <si>
    <t xml:space="preserve">S0001-w01-g03</t>
  </si>
  <si>
    <t xml:space="preserve">S0001-w01-g03:88e80e3c-3511-403f-9033-332c76820e54</t>
  </si>
  <si>
    <t xml:space="preserve">S0001-w01-g03:7e907f08-6389-4d4f-b2b1-a4899a80a576</t>
  </si>
  <si>
    <t xml:space="preserve">S0001-w01-g04</t>
  </si>
  <si>
    <t xml:space="preserve">S0001-w01-g04:64336ace-1ead-4eed-a112-3d402edc6d84</t>
  </si>
  <si>
    <t xml:space="preserve">S0001-w01-g04:3d743b76-bc76-4249-b550-d5a09b0e071a</t>
  </si>
  <si>
    <t xml:space="preserve">S0001-w01-g05</t>
  </si>
  <si>
    <t xml:space="preserve">S0001-w01-g05:e6c4ce63-cbef-4e01-ba5f-804a984024ee</t>
  </si>
  <si>
    <t xml:space="preserve">S0001-w01-g05:a866ce30-5869-4188-b93b-d415e1f97a9e</t>
  </si>
  <si>
    <t xml:space="preserve">S0001-w01-g06</t>
  </si>
  <si>
    <t xml:space="preserve">S0001-w01-g06:466adf39-b0a1-4b20-ba94-f22a82ff92a2</t>
  </si>
  <si>
    <t xml:space="preserve">S0001-w01-g06:db3ed416-54bc-44d6-86dc-49b6cc79a2ef</t>
  </si>
  <si>
    <t xml:space="preserve">S0001-w02-g01</t>
  </si>
  <si>
    <t xml:space="preserve">S0001-w02-g01:d6d0b322-6a53-4df9-9ae1-5abb357a05ef</t>
  </si>
  <si>
    <t xml:space="preserve">2026-09-13T18:00:00+00:00</t>
  </si>
  <si>
    <t xml:space="preserve">S0001-w02-g01:22dda48d-9e4d-469d-8e17-eb48dd5a58d7</t>
  </si>
  <si>
    <t xml:space="preserve">S0001-w02-g02</t>
  </si>
  <si>
    <t xml:space="preserve">S0001-w02-g02:00000000-0000-0000-0000-000000000001</t>
  </si>
  <si>
    <t xml:space="preserve">S0001-w02-g02:7e907f08-6389-4d4f-b2b1-a4899a80a576</t>
  </si>
  <si>
    <t xml:space="preserve">S0001-w02-g03</t>
  </si>
  <si>
    <t xml:space="preserve">S0001-w02-g03:64336ace-1ead-4eed-a112-3d402edc6d84</t>
  </si>
  <si>
    <t xml:space="preserve">S0001-w02-g03:4379eea3-230b-4c63-8c33-06dacd51a349</t>
  </si>
  <si>
    <t xml:space="preserve">S0001-w02-g04</t>
  </si>
  <si>
    <t xml:space="preserve">S0001-w02-g04:88e80e3c-3511-403f-9033-332c76820e54</t>
  </si>
  <si>
    <t xml:space="preserve">S0001-w02-g04:a866ce30-5869-4188-b93b-d415e1f97a9e</t>
  </si>
  <si>
    <t xml:space="preserve">S0001-w02-g05</t>
  </si>
  <si>
    <t xml:space="preserve">S0001-w02-g05:466adf39-b0a1-4b20-ba94-f22a82ff92a2</t>
  </si>
  <si>
    <t xml:space="preserve">S0001-w02-g05:3d743b76-bc76-4249-b550-d5a09b0e071a</t>
  </si>
  <si>
    <t xml:space="preserve">S0001-w02-g06</t>
  </si>
  <si>
    <t xml:space="preserve">S0001-w02-g06:e6c4ce63-cbef-4e01-ba5f-804a984024ee</t>
  </si>
  <si>
    <t xml:space="preserve">S0001-w02-g06:db3ed416-54bc-44d6-86dc-49b6cc79a2ef</t>
  </si>
  <si>
    <t xml:space="preserve">S0001-w03-g01</t>
  </si>
  <si>
    <t xml:space="preserve">S0001-w03-g01:22dda48d-9e4d-469d-8e17-eb48dd5a58d7</t>
  </si>
  <si>
    <t xml:space="preserve">2026-09-20T18:00:00+00:00</t>
  </si>
  <si>
    <t xml:space="preserve">S0001-w03-g01:7e907f08-6389-4d4f-b2b1-a4899a80a576</t>
  </si>
  <si>
    <t xml:space="preserve">S0001-w03-g02</t>
  </si>
  <si>
    <t xml:space="preserve">S0001-w03-g02:64336ace-1ead-4eed-a112-3d402edc6d84</t>
  </si>
  <si>
    <t xml:space="preserve">S0001-w03-g02:d6d0b322-6a53-4df9-9ae1-5abb357a05ef</t>
  </si>
  <si>
    <t xml:space="preserve">S0001-w03-g03</t>
  </si>
  <si>
    <t xml:space="preserve">S0001-w03-g03:00000000-0000-0000-0000-000000000001</t>
  </si>
  <si>
    <t xml:space="preserve">S0001-w03-g03:a866ce30-5869-4188-b93b-d415e1f97a9e</t>
  </si>
  <si>
    <t xml:space="preserve">S0001-w03-g04</t>
  </si>
  <si>
    <t xml:space="preserve">S0001-w03-g04:466adf39-b0a1-4b20-ba94-f22a82ff92a2</t>
  </si>
  <si>
    <t xml:space="preserve">S0001-w03-g04:4379eea3-230b-4c63-8c33-06dacd51a349</t>
  </si>
  <si>
    <t xml:space="preserve">S0001-w03-g05</t>
  </si>
  <si>
    <t xml:space="preserve">S0001-w03-g05:88e80e3c-3511-403f-9033-332c76820e54</t>
  </si>
  <si>
    <t xml:space="preserve">S0001-w03-g05:db3ed416-54bc-44d6-86dc-49b6cc79a2ef</t>
  </si>
  <si>
    <t xml:space="preserve">S0001-w03-g06</t>
  </si>
  <si>
    <t xml:space="preserve">S0001-w03-g06:e6c4ce63-cbef-4e01-ba5f-804a984024ee</t>
  </si>
  <si>
    <t xml:space="preserve">S0001-w03-g06:3d743b76-bc76-4249-b550-d5a09b0e071a</t>
  </si>
  <si>
    <t xml:space="preserve">S0001-w04-g01</t>
  </si>
  <si>
    <t xml:space="preserve">S0001-w04-g01:64336ace-1ead-4eed-a112-3d402edc6d84</t>
  </si>
  <si>
    <t xml:space="preserve">2026-09-27T18:00:00+00:00</t>
  </si>
  <si>
    <t xml:space="preserve">S0001-w04-g01:22dda48d-9e4d-469d-8e17-eb48dd5a58d7</t>
  </si>
  <si>
    <t xml:space="preserve">S0001-w04-g02</t>
  </si>
  <si>
    <t xml:space="preserve">S0001-w04-g02:7e907f08-6389-4d4f-b2b1-a4899a80a576</t>
  </si>
  <si>
    <t xml:space="preserve">S0001-w04-g02:a866ce30-5869-4188-b93b-d415e1f97a9e</t>
  </si>
  <si>
    <t xml:space="preserve">S0001-w04-g03</t>
  </si>
  <si>
    <t xml:space="preserve">S0001-w04-g03:466adf39-b0a1-4b20-ba94-f22a82ff92a2</t>
  </si>
  <si>
    <t xml:space="preserve">S0001-w04-g03:d6d0b322-6a53-4df9-9ae1-5abb357a05ef</t>
  </si>
  <si>
    <t xml:space="preserve">S0001-w04-g04</t>
  </si>
  <si>
    <t xml:space="preserve">S0001-w04-g04:00000000-0000-0000-0000-000000000001</t>
  </si>
  <si>
    <t xml:space="preserve">S0001-w04-g04:db3ed416-54bc-44d6-86dc-49b6cc79a2ef</t>
  </si>
  <si>
    <t xml:space="preserve">S0001-w04-g05</t>
  </si>
  <si>
    <t xml:space="preserve">S0001-w04-g05:e6c4ce63-cbef-4e01-ba5f-804a984024ee</t>
  </si>
  <si>
    <t xml:space="preserve">S0001-w04-g05:4379eea3-230b-4c63-8c33-06dacd51a349</t>
  </si>
  <si>
    <t xml:space="preserve">S0001-w04-g06</t>
  </si>
  <si>
    <t xml:space="preserve">S0001-w04-g06:88e80e3c-3511-403f-9033-332c76820e54</t>
  </si>
  <si>
    <t xml:space="preserve">S0001-w04-g06:3d743b76-bc76-4249-b550-d5a09b0e071a</t>
  </si>
  <si>
    <t xml:space="preserve">S0001-w05-g01</t>
  </si>
  <si>
    <t xml:space="preserve">S0001-w05-g01:22dda48d-9e4d-469d-8e17-eb48dd5a58d7</t>
  </si>
  <si>
    <t xml:space="preserve">2026-10-04T18:00:00+00:00</t>
  </si>
  <si>
    <t xml:space="preserve">S0001-w05-g01:a866ce30-5869-4188-b93b-d415e1f97a9e</t>
  </si>
  <si>
    <t xml:space="preserve">S0001-w05-g02</t>
  </si>
  <si>
    <t xml:space="preserve">S0001-w05-g02:466adf39-b0a1-4b20-ba94-f22a82ff92a2</t>
  </si>
  <si>
    <t xml:space="preserve">S0001-w05-g02:64336ace-1ead-4eed-a112-3d402edc6d84</t>
  </si>
  <si>
    <t xml:space="preserve">S0001-w05-g03</t>
  </si>
  <si>
    <t xml:space="preserve">S0001-w05-g03:7e907f08-6389-4d4f-b2b1-a4899a80a576</t>
  </si>
  <si>
    <t xml:space="preserve">S0001-w05-g03:db3ed416-54bc-44d6-86dc-49b6cc79a2ef</t>
  </si>
  <si>
    <t xml:space="preserve">S0001-w05-g04</t>
  </si>
  <si>
    <t xml:space="preserve">S0001-w05-g04:e6c4ce63-cbef-4e01-ba5f-804a984024ee</t>
  </si>
  <si>
    <t xml:space="preserve">S0001-w05-g04:d6d0b322-6a53-4df9-9ae1-5abb357a05ef</t>
  </si>
  <si>
    <t xml:space="preserve">S0001-w05-g05</t>
  </si>
  <si>
    <t xml:space="preserve">S0001-w05-g05:00000000-0000-0000-0000-000000000001</t>
  </si>
  <si>
    <t xml:space="preserve">S0001-w05-g05:3d743b76-bc76-4249-b550-d5a09b0e071a</t>
  </si>
  <si>
    <t xml:space="preserve">S0001-w05-g06</t>
  </si>
  <si>
    <t xml:space="preserve">S0001-w05-g06:88e80e3c-3511-403f-9033-332c76820e54</t>
  </si>
  <si>
    <t xml:space="preserve">S0001-w05-g06:4379eea3-230b-4c63-8c33-06dacd51a349</t>
  </si>
  <si>
    <t xml:space="preserve">S0001-w06-g01</t>
  </si>
  <si>
    <t xml:space="preserve">S0001-w06-g01:466adf39-b0a1-4b20-ba94-f22a82ff92a2</t>
  </si>
  <si>
    <t xml:space="preserve">2026-10-11T18:00:00+00:00</t>
  </si>
  <si>
    <t xml:space="preserve">S0001-w06-g01:22dda48d-9e4d-469d-8e17-eb48dd5a58d7</t>
  </si>
  <si>
    <t xml:space="preserve">S0001-w06-g02</t>
  </si>
  <si>
    <t xml:space="preserve">S0001-w06-g02:a866ce30-5869-4188-b93b-d415e1f97a9e</t>
  </si>
  <si>
    <t xml:space="preserve">S0001-w06-g02:db3ed416-54bc-44d6-86dc-49b6cc79a2ef</t>
  </si>
  <si>
    <t xml:space="preserve">S0001-w06-g03</t>
  </si>
  <si>
    <t xml:space="preserve">S0001-w06-g03:e6c4ce63-cbef-4e01-ba5f-804a984024ee</t>
  </si>
  <si>
    <t xml:space="preserve">S0001-w06-g03:64336ace-1ead-4eed-a112-3d402edc6d84</t>
  </si>
  <si>
    <t xml:space="preserve">S0001-w06-g04</t>
  </si>
  <si>
    <t xml:space="preserve">S0001-w06-g04:7e907f08-6389-4d4f-b2b1-a4899a80a576</t>
  </si>
  <si>
    <t xml:space="preserve">S0001-w06-g04:3d743b76-bc76-4249-b550-d5a09b0e071a</t>
  </si>
  <si>
    <t xml:space="preserve">S0001-w06-g05</t>
  </si>
  <si>
    <t xml:space="preserve">S0001-w06-g05:88e80e3c-3511-403f-9033-332c76820e54</t>
  </si>
  <si>
    <t xml:space="preserve">S0001-w06-g05:d6d0b322-6a53-4df9-9ae1-5abb357a05ef</t>
  </si>
  <si>
    <t xml:space="preserve">S0001-w06-g06</t>
  </si>
  <si>
    <t xml:space="preserve">S0001-w06-g06:00000000-0000-0000-0000-000000000001</t>
  </si>
  <si>
    <t xml:space="preserve">S0001-w06-g06:4379eea3-230b-4c63-8c33-06dacd51a349</t>
  </si>
  <si>
    <t xml:space="preserve">S0001-w07-g01</t>
  </si>
  <si>
    <t xml:space="preserve">S0001-w07-g01:22dda48d-9e4d-469d-8e17-eb48dd5a58d7</t>
  </si>
  <si>
    <t xml:space="preserve">2026-10-18T18:00:00+00:00</t>
  </si>
  <si>
    <t xml:space="preserve">S0001-w07-g01:db3ed416-54bc-44d6-86dc-49b6cc79a2ef</t>
  </si>
  <si>
    <t xml:space="preserve">S0001-w07-g02</t>
  </si>
  <si>
    <t xml:space="preserve">S0001-w07-g02:e6c4ce63-cbef-4e01-ba5f-804a984024ee</t>
  </si>
  <si>
    <t xml:space="preserve">S0001-w07-g02:466adf39-b0a1-4b20-ba94-f22a82ff92a2</t>
  </si>
  <si>
    <t xml:space="preserve">S0001-w07-g03</t>
  </si>
  <si>
    <t xml:space="preserve">S0001-w07-g03:a866ce30-5869-4188-b93b-d415e1f97a9e</t>
  </si>
  <si>
    <t xml:space="preserve">S0001-w07-g03:3d743b76-bc76-4249-b550-d5a09b0e071a</t>
  </si>
  <si>
    <t xml:space="preserve">S0001-w07-g04</t>
  </si>
  <si>
    <t xml:space="preserve">S0001-w07-g04:88e80e3c-3511-403f-9033-332c76820e54</t>
  </si>
  <si>
    <t xml:space="preserve">S0001-w07-g04:64336ace-1ead-4eed-a112-3d402edc6d84</t>
  </si>
  <si>
    <t xml:space="preserve">S0001-w07-g05</t>
  </si>
  <si>
    <t xml:space="preserve">S0001-w07-g05:7e907f08-6389-4d4f-b2b1-a4899a80a576</t>
  </si>
  <si>
    <t xml:space="preserve">S0001-w07-g05:4379eea3-230b-4c63-8c33-06dacd51a349</t>
  </si>
  <si>
    <t xml:space="preserve">S0001-w07-g06</t>
  </si>
  <si>
    <t xml:space="preserve">S0001-w07-g06:00000000-0000-0000-0000-000000000001</t>
  </si>
  <si>
    <t xml:space="preserve">S0001-w07-g06:d6d0b322-6a53-4df9-9ae1-5abb357a05ef</t>
  </si>
  <si>
    <t xml:space="preserve">S0001-w08-g01</t>
  </si>
  <si>
    <t xml:space="preserve">S0001-w08-g01:e6c4ce63-cbef-4e01-ba5f-804a984024ee</t>
  </si>
  <si>
    <t xml:space="preserve">2026-10-25T18:00:00+00:00</t>
  </si>
  <si>
    <t xml:space="preserve">S0001-w08-g01:22dda48d-9e4d-469d-8e17-eb48dd5a58d7</t>
  </si>
  <si>
    <t xml:space="preserve">S0001-w08-g02</t>
  </si>
  <si>
    <t xml:space="preserve">S0001-w08-g02:db3ed416-54bc-44d6-86dc-49b6cc79a2ef</t>
  </si>
  <si>
    <t xml:space="preserve">S0001-w08-g02:3d743b76-bc76-4249-b550-d5a09b0e071a</t>
  </si>
  <si>
    <t xml:space="preserve">S0001-w08-g03</t>
  </si>
  <si>
    <t xml:space="preserve">S0001-w08-g03:88e80e3c-3511-403f-9033-332c76820e54</t>
  </si>
  <si>
    <t xml:space="preserve">S0001-w08-g03:466adf39-b0a1-4b20-ba94-f22a82ff92a2</t>
  </si>
  <si>
    <t xml:space="preserve">S0001-w08-g04</t>
  </si>
  <si>
    <t xml:space="preserve">S0001-w08-g04:a866ce30-5869-4188-b93b-d415e1f97a9e</t>
  </si>
  <si>
    <t xml:space="preserve">S0001-w08-g04:4379eea3-230b-4c63-8c33-06dacd51a349</t>
  </si>
  <si>
    <t xml:space="preserve">S0001-w08-g05</t>
  </si>
  <si>
    <t xml:space="preserve">S0001-w08-g05:00000000-0000-0000-0000-000000000001</t>
  </si>
  <si>
    <t xml:space="preserve">S0001-w08-g05:64336ace-1ead-4eed-a112-3d402edc6d84</t>
  </si>
  <si>
    <t xml:space="preserve">S0001-w08-g06</t>
  </si>
  <si>
    <t xml:space="preserve">S0001-w08-g06:7e907f08-6389-4d4f-b2b1-a4899a80a576</t>
  </si>
  <si>
    <t xml:space="preserve">S0001-w08-g06:d6d0b322-6a53-4df9-9ae1-5abb357a05ef</t>
  </si>
  <si>
    <t xml:space="preserve">S0001-w09-g01</t>
  </si>
  <si>
    <t xml:space="preserve">S0001-w09-g01:22dda48d-9e4d-469d-8e17-eb48dd5a58d7</t>
  </si>
  <si>
    <t xml:space="preserve">2026-11-01T18:00:00+00:00</t>
  </si>
  <si>
    <t xml:space="preserve">S0001-w09-g01:3d743b76-bc76-4249-b550-d5a09b0e071a</t>
  </si>
  <si>
    <t xml:space="preserve">S0001-w09-g02</t>
  </si>
  <si>
    <t xml:space="preserve">S0001-w09-g02:88e80e3c-3511-403f-9033-332c76820e54</t>
  </si>
  <si>
    <t xml:space="preserve">S0001-w09-g02:e6c4ce63-cbef-4e01-ba5f-804a984024ee</t>
  </si>
  <si>
    <t xml:space="preserve">S0001-w09-g03</t>
  </si>
  <si>
    <t xml:space="preserve">S0001-w09-g03:db3ed416-54bc-44d6-86dc-49b6cc79a2ef</t>
  </si>
  <si>
    <t xml:space="preserve">S0001-w09-g03:4379eea3-230b-4c63-8c33-06dacd51a349</t>
  </si>
  <si>
    <t xml:space="preserve">S0001-w09-g04</t>
  </si>
  <si>
    <t xml:space="preserve">S0001-w09-g04:00000000-0000-0000-0000-000000000001</t>
  </si>
  <si>
    <t xml:space="preserve">S0001-w09-g04:466adf39-b0a1-4b20-ba94-f22a82ff92a2</t>
  </si>
  <si>
    <t xml:space="preserve">S0001-w09-g05</t>
  </si>
  <si>
    <t xml:space="preserve">S0001-w09-g05:a866ce30-5869-4188-b93b-d415e1f97a9e</t>
  </si>
  <si>
    <t xml:space="preserve">S0001-w09-g05:d6d0b322-6a53-4df9-9ae1-5abb357a05ef</t>
  </si>
  <si>
    <t xml:space="preserve">S0001-w09-g06</t>
  </si>
  <si>
    <t xml:space="preserve">S0001-w09-g06:7e907f08-6389-4d4f-b2b1-a4899a80a576</t>
  </si>
  <si>
    <t xml:space="preserve">S0001-w09-g06:64336ace-1ead-4eed-a112-3d402edc6d84</t>
  </si>
  <si>
    <t xml:space="preserve">S0001-w10-g01</t>
  </si>
  <si>
    <t xml:space="preserve">S0001-w10-g01:88e80e3c-3511-403f-9033-332c76820e54</t>
  </si>
  <si>
    <t xml:space="preserve">2026-11-08T18:00:00+00:00</t>
  </si>
  <si>
    <t xml:space="preserve">S0001-w10-g01:22dda48d-9e4d-469d-8e17-eb48dd5a58d7</t>
  </si>
  <si>
    <t xml:space="preserve">S0001-w10-g02</t>
  </si>
  <si>
    <t xml:space="preserve">S0001-w10-g02:3d743b76-bc76-4249-b550-d5a09b0e071a</t>
  </si>
  <si>
    <t xml:space="preserve">S0001-w10-g02:4379eea3-230b-4c63-8c33-06dacd51a349</t>
  </si>
  <si>
    <t xml:space="preserve">S0001-w10-g03</t>
  </si>
  <si>
    <t xml:space="preserve">S0001-w10-g03:00000000-0000-0000-0000-000000000001</t>
  </si>
  <si>
    <t xml:space="preserve">S0001-w10-g03:e6c4ce63-cbef-4e01-ba5f-804a984024ee</t>
  </si>
  <si>
    <t xml:space="preserve">S0001-w10-g04</t>
  </si>
  <si>
    <t xml:space="preserve">S0001-w10-g04:db3ed416-54bc-44d6-86dc-49b6cc79a2ef</t>
  </si>
  <si>
    <t xml:space="preserve">S0001-w10-g04:d6d0b322-6a53-4df9-9ae1-5abb357a05ef</t>
  </si>
  <si>
    <t xml:space="preserve">S0001-w10-g05</t>
  </si>
  <si>
    <t xml:space="preserve">S0001-w10-g05:7e907f08-6389-4d4f-b2b1-a4899a80a576</t>
  </si>
  <si>
    <t xml:space="preserve">S0001-w10-g05:466adf39-b0a1-4b20-ba94-f22a82ff92a2</t>
  </si>
  <si>
    <t xml:space="preserve">S0001-w10-g06</t>
  </si>
  <si>
    <t xml:space="preserve">S0001-w10-g06:a866ce30-5869-4188-b93b-d415e1f97a9e</t>
  </si>
  <si>
    <t xml:space="preserve">S0001-w10-g06:64336ace-1ead-4eed-a112-3d402edc6d84</t>
  </si>
  <si>
    <t xml:space="preserve">Sample_Standings  |  season S0001, seed 42</t>
  </si>
  <si>
    <t xml:space="preserve">All columns except sim_placement are formulas over Sample_Games.</t>
  </si>
  <si>
    <t xml:space="preserve">sort_key</t>
  </si>
  <si>
    <t xml:space="preserve">placement (formula)</t>
  </si>
  <si>
    <t xml:space="preserve">sim_placement (gos_sim.py)</t>
  </si>
  <si>
    <t xml:space="preserve">match</t>
  </si>
  <si>
    <t xml:space="preserve">Validation  |  every batch must pass, simulator or live</t>
  </si>
  <si>
    <t xml:space="preserve">Live formulas over Sample_Games / Sample_Standings. Implement the same checks in code (gos_sim.validate).</t>
  </si>
  <si>
    <t xml:space="preserve">Check</t>
  </si>
  <si>
    <t xml:space="preserve">Why</t>
  </si>
  <si>
    <t xml:space="preserve">Formula result</t>
  </si>
  <si>
    <t xml:space="preserve">League wins = league losses</t>
  </si>
  <si>
    <t xml:space="preserve">Every game has one winner and one loser. Today's in-game coin flip fails this</t>
  </si>
  <si>
    <t xml:space="preserve">Every game_id has exactly 2 rows</t>
  </si>
  <si>
    <t xml:space="preserve">One row per team per game</t>
  </si>
  <si>
    <t xml:space="preserve">event_id is unique</t>
  </si>
  <si>
    <t xml:space="preserve">Rewards are idempotent on event_id</t>
  </si>
  <si>
    <t xml:space="preserve">Score agrees with result</t>
  </si>
  <si>
    <t xml:space="preserve">margin = points_for - points_against</t>
  </si>
  <si>
    <t xml:space="preserve">Derived field is consistent</t>
  </si>
  <si>
    <t xml:space="preserve">Each team plays weeks_per_season games</t>
  </si>
  <si>
    <t xml:space="preserve">No team skipped or doubled</t>
  </si>
  <si>
    <t xml:space="preserve">Exactly one player-team row per week</t>
  </si>
  <si>
    <t xml:space="preserve">Rewards target one user</t>
  </si>
  <si>
    <t xml:space="preserve">Placements are unique 1..N</t>
  </si>
  <si>
    <t xml:space="preserve">Season rewards need a clean rank</t>
  </si>
  <si>
    <t xml:space="preserve">Formula placement = simulator placement</t>
  </si>
  <si>
    <t xml:space="preserve">Excel and gos_sim.py agree on standings + tiebreaks</t>
  </si>
  <si>
    <t xml:space="preserve">win_probability in 0..1</t>
  </si>
  <si>
    <t xml:space="preserve">Sanity</t>
  </si>
  <si>
    <t xml:space="preserve">Strength weights sum to 1</t>
  </si>
  <si>
    <t xml:space="preserve">Config sanity</t>
  </si>
  <si>
    <t xml:space="preserve">All checks</t>
  </si>
  <si>
    <t xml:space="preserve">Monte_Carlo  |  2,000 seasons, seed 7, default config</t>
  </si>
  <si>
    <t xml:space="preserve">Simulator output (gos_sim.py). These are the replication targets for anyone rebuilding the engine.</t>
  </si>
  <si>
    <t xml:space="preserve">avg_wins</t>
  </si>
  <si>
    <t xml:space="preserve">P(1st)</t>
  </si>
  <si>
    <t xml:space="preserve">P(top 3)</t>
  </si>
  <si>
    <t xml:space="preserve">avg_placement</t>
  </si>
  <si>
    <t xml:space="preserve">avg_point_diff</t>
  </si>
  <si>
    <t xml:space="preserve">avg_longest_streak</t>
  </si>
  <si>
    <t xml:space="preserve">Player Team final placement distribution</t>
  </si>
  <si>
    <t xml:space="preserve">share</t>
  </si>
  <si>
    <t xml:space="preserve">Winning margin distribution (all games)</t>
  </si>
  <si>
    <t xml:space="preserve">margin bucket</t>
  </si>
  <si>
    <t xml:space="preserve">games</t>
  </si>
  <si>
    <t xml:space="preserve">1-3</t>
  </si>
  <si>
    <t xml:space="preserve">4-7</t>
  </si>
  <si>
    <t xml:space="preserve">8-14</t>
  </si>
  <si>
    <t xml:space="preserve">15-21</t>
  </si>
  <si>
    <t xml:space="preserve">22-28</t>
  </si>
  <si>
    <t xml:space="preserve">29+</t>
  </si>
  <si>
    <t xml:space="preserve">Source: gos_sim.py run(2000, seed=7), 240,000 game rows, 24,000 season rows. All validation checks passed.</t>
  </si>
  <si>
    <t xml:space="preserve">Coin_Calibration  |  PLACEHOLDER for discussion, Economy + LoopLab own the real numbers</t>
  </si>
  <si>
    <t xml:space="preserve">Shows why the simulator matters: with result-based coins, how many seasons until a player can max all facilities?</t>
  </si>
  <si>
    <t xml:space="preserve">Inputs (placeholder)</t>
  </si>
  <si>
    <t xml:space="preserve">coins_per_game_played</t>
  </si>
  <si>
    <t xml:space="preserve">Every game, win or lose</t>
  </si>
  <si>
    <t xml:space="preserve">coins_per_win</t>
  </si>
  <si>
    <t xml:space="preserve">Extra on a win</t>
  </si>
  <si>
    <t xml:space="preserve">coins_1st_place</t>
  </si>
  <si>
    <t xml:space="preserve">Season end</t>
  </si>
  <si>
    <t xml:space="preserve">coins_2nd_place</t>
  </si>
  <si>
    <t xml:space="preserve">coins_3rd_place</t>
  </si>
  <si>
    <t xml:space="preserve">Pulled from Monte_Carlo (Player Team)</t>
  </si>
  <si>
    <t xml:space="preserve">avg wins per season</t>
  </si>
  <si>
    <t xml:space="preserve">P(2nd)</t>
  </si>
  <si>
    <t xml:space="preserve">P(3rd)</t>
  </si>
  <si>
    <t xml:space="preserve">Facility upgrade cost to max (facilities_config.json)</t>
  </si>
  <si>
    <t xml:space="preserve">Facility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</si>
  <si>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</si>
  <si>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</si>
  <si>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</si>
  <si>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</si>
  <si>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</si>
  <si>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Total</t>
  </si>
  <si>
    <t xml:space="preserve">Weight Room</t>
  </si>
  <si>
    <t xml:space="preserve">Film Room</t>
  </si>
  <si>
    <t xml:space="preserve">Rehab Center</t>
  </si>
  <si>
    <t xml:space="preserve">All facilities maxed</t>
  </si>
  <si>
    <t xml:space="preserve">Results</t>
  </si>
  <si>
    <t xml:space="preserve">Expected coins per season</t>
  </si>
  <si>
    <t xml:space="preserve">Seasons to max all facilities</t>
  </si>
  <si>
    <t xml:space="preserve">Current lump sum (for comparison)</t>
  </si>
  <si>
    <t xml:space="preserve">Lump sum vs max-all cost</t>
  </si>
  <si>
    <t xml:space="preserve">Cumulative coins</t>
  </si>
  <si>
    <t xml:space="preserve">Max-all cost</t>
  </si>
  <si>
    <t xml:space="preserve">Note: lump sum 1,200,000 is about 104% of the 1,158,000 needed to max every room, which is why the time dimension disappears today.</t>
  </si>
  <si>
    <t xml:space="preserve">Task_Split  |  follow in order, each row has a done condition</t>
  </si>
  <si>
    <t xml:space="preserve">Day 1 is schema sign-off. Then the 3 tracks run in parallel against the schema.</t>
  </si>
  <si>
    <t xml:space="preserve">ID</t>
  </si>
  <si>
    <t xml:space="preserve">Task</t>
  </si>
  <si>
    <t xml:space="preserve">How (see sheet)</t>
  </si>
  <si>
    <t xml:space="preserve">Output</t>
  </si>
  <si>
    <t xml:space="preserve">Done when</t>
  </si>
  <si>
    <t xml:space="preserve">Depends on</t>
  </si>
  <si>
    <t xml:space="preserve">Est. days</t>
  </si>
  <si>
    <t xml:space="preserve">D1</t>
  </si>
  <si>
    <t xml:space="preserve">Daniel</t>
  </si>
  <si>
    <t xml:space="preserve">Lock schema v0.1</t>
  </si>
  <si>
    <t xml:space="preserve">Apply meeting answers to Schema_* sheets, bump to v1.0</t>
  </si>
  <si>
    <t xml:space="preserve">Schema signed off</t>
  </si>
  <si>
    <t xml:space="preserve">Prof + leads OK the fields</t>
  </si>
  <si>
    <t xml:space="preserve">D2</t>
  </si>
  <si>
    <t xml:space="preserve">Config + team loader</t>
  </si>
  <si>
    <t xml:space="preserve">Read team.json, progression.json, coaches_bonus_config.json, facilities_config.json from StreamingAssets into CONFIG / TEAMS</t>
  </si>
  <si>
    <t xml:space="preserve">loader.py</t>
  </si>
  <si>
    <t xml:space="preserve">Changing a JSON value changes sim output</t>
  </si>
  <si>
    <t xml:space="preserve">D3</t>
  </si>
  <si>
    <t xml:space="preserve">Validation module</t>
  </si>
  <si>
    <t xml:space="preserve">Implement every row on Validation sheet. Run on sim AND future live batches</t>
  </si>
  <si>
    <t xml:space="preserve">validate.py</t>
  </si>
  <si>
    <t xml:space="preserve">All checks PASS on 2,000 seasons, and a broken file is rejected</t>
  </si>
  <si>
    <t xml:space="preserve">D4</t>
  </si>
  <si>
    <t xml:space="preserve">Exporters</t>
  </si>
  <si>
    <t xml:space="preserve">CSV (LoopLab) + JSON (DM systems). Path decided by Q11</t>
  </si>
  <si>
    <t xml:space="preserve">game_outcomes.csv/json, season_summary.csv</t>
  </si>
  <si>
    <t xml:space="preserve">Files match Schema_* columns exactly</t>
  </si>
  <si>
    <t xml:space="preserve">A5</t>
  </si>
  <si>
    <t xml:space="preserve">D5</t>
  </si>
  <si>
    <t xml:space="preserve">LoopLab handoff pack</t>
  </si>
  <si>
    <t xml:space="preserve">README + 3 scenario batches (Jashwant J3). Send to Aditya and Rahul</t>
  </si>
  <si>
    <t xml:space="preserve">handoff folder + email</t>
  </si>
  <si>
    <t xml:space="preserve">LoopLab team confirms they can import it</t>
  </si>
  <si>
    <t xml:space="preserve">D4, J3</t>
  </si>
  <si>
    <t xml:space="preserve">A1</t>
  </si>
  <si>
    <t xml:space="preserve">Adnan</t>
  </si>
  <si>
    <t xml:space="preserve">Schedule generator</t>
  </si>
  <si>
    <t xml:space="preserve">Algorithm step 3 (circle round robin)</t>
  </si>
  <si>
    <t xml:space="preserve">schedule()</t>
  </si>
  <si>
    <t xml:space="preserve">Each team plays weeks_per_season games, no team twice in a week</t>
  </si>
  <si>
    <t xml:space="preserve">A2</t>
  </si>
  <si>
    <t xml:space="preserve">Match model</t>
  </si>
  <si>
    <t xml:space="preserve">Algorithm steps 4-6. All params from Sim_Config. One seeded RNG</t>
  </si>
  <si>
    <t xml:space="preserve">play_game()</t>
  </si>
  <si>
    <t xml:space="preserve">Same seed twice = identical output</t>
  </si>
  <si>
    <t xml:space="preserve">A3</t>
  </si>
  <si>
    <t xml:space="preserve">Season loop + running fields</t>
  </si>
  <si>
    <t xml:space="preserve">Algorithm step 7 (wins_to_date, losses_to_date, current_streak, standing points)</t>
  </si>
  <si>
    <t xml:space="preserve">Sample season passes Validation 1-7</t>
  </si>
  <si>
    <t xml:space="preserve">A4</t>
  </si>
  <si>
    <t xml:space="preserve">Standings + tiebreaks</t>
  </si>
  <si>
    <t xml:space="preserve">Algorithm step 8</t>
  </si>
  <si>
    <t xml:space="preserve">standings()</t>
  </si>
  <si>
    <t xml:space="preserve">Matches Sample_Standings placement logic</t>
  </si>
  <si>
    <t xml:space="preserve">Multi-season runner + CLI</t>
  </si>
  <si>
    <t xml:space="preserve">--seasons --seed --scenario --out</t>
  </si>
  <si>
    <t xml:space="preserve">gos CLI</t>
  </si>
  <si>
    <t xml:space="preserve">2,000 seasons run in under a minute</t>
  </si>
  <si>
    <t xml:space="preserve">A6</t>
  </si>
  <si>
    <t xml:space="preserve">Replication check</t>
  </si>
  <si>
    <t xml:space="preserve">Algorithm step 12</t>
  </si>
  <si>
    <t xml:space="preserve">check report</t>
  </si>
  <si>
    <t xml:space="preserve">Every team avg wins within +/- 0.15 of Monte_Carlo</t>
  </si>
  <si>
    <t xml:space="preserve">J1</t>
  </si>
  <si>
    <t xml:space="preserve">Jashwant</t>
  </si>
  <si>
    <t xml:space="preserve">Coach bonus inputs</t>
  </si>
  <si>
    <t xml:space="preserve">His 3 rolled-up bonuses (O, D, ST) as Team_Inputs coach_* columns + short write-up of how they are calculated</t>
  </si>
  <si>
    <t xml:space="preserve">coach_bonus.py / doc</t>
  </si>
  <si>
    <t xml:space="preserve">Values in 0-0.10, documented</t>
  </si>
  <si>
    <t xml:space="preserve">J2</t>
  </si>
  <si>
    <t xml:space="preserve">Rating tiers proposal</t>
  </si>
  <si>
    <t xml:space="preserve">team.json ratings are all 1.0. Propose 0-100 offence/defence/ST tiers (answers Q1)</t>
  </si>
  <si>
    <t xml:space="preserve">team ratings table</t>
  </si>
  <si>
    <t xml:space="preserve">Prof approves</t>
  </si>
  <si>
    <t xml:space="preserve">J3</t>
  </si>
  <si>
    <t xml:space="preserve">Scenario presets</t>
  </si>
  <si>
    <t xml:space="preserve">Balanced league, strong player team, weak player team, coach-heavy player team</t>
  </si>
  <si>
    <t xml:space="preserve">scenarios/*.json</t>
  </si>
  <si>
    <t xml:space="preserve">Each runs through CLI and passes validation</t>
  </si>
  <si>
    <t xml:space="preserve">J1, J2, A5</t>
  </si>
  <si>
    <t xml:space="preserve">J4</t>
  </si>
  <si>
    <t xml:space="preserve">Test pass</t>
  </si>
  <si>
    <t xml:space="preserve">Review code, run validation, confirm coach bonus only on wins (Consumer_Map)</t>
  </si>
  <si>
    <t xml:space="preserve">test notes</t>
  </si>
  <si>
    <t xml:space="preserve">Issues logged on #2300</t>
  </si>
  <si>
    <t xml:space="preserve">Open_Questions  |  for the team and the professor</t>
  </si>
  <si>
    <t xml:space="preserve">Default = what we build if nobody answers by end of week.</t>
  </si>
  <si>
    <t xml:space="preserve">Question</t>
  </si>
  <si>
    <t xml:space="preserve">Why it matters</t>
  </si>
  <si>
    <t xml:space="preserve">Default if no answer</t>
  </si>
  <si>
    <t xml:space="preserve">team.json ratings are all 1.0. Where do real offence/defence/ST ratings come from, real NFL data or invented tiers?</t>
  </si>
  <si>
    <t xml:space="preserve">Win chance is driven entirely by ratings</t>
  </si>
  <si>
    <t xml:space="preserve">Invented 0-100 tiers (Team_Inputs)</t>
  </si>
  <si>
    <t xml:space="preserve">Prof, Jashwant</t>
  </si>
  <si>
    <t xml:space="preserve">Do we accept Jashwant's 3 rolled-up coach bonuses (O, D, ST) as the simulator input and the MGI AI contract?</t>
  </si>
  <si>
    <t xml:space="preserve">Coaches feed team strength</t>
  </si>
  <si>
    <t xml:space="preserve">Prof, Bhuvan</t>
  </si>
  <si>
    <t xml:space="preserve">Should facility benefits (PlayerStrengthBoost etc.) raise team strength?</t>
  </si>
  <si>
    <t xml:space="preserve">Creates the real loop: wins -&gt; coins -&gt; facilities -&gt; wins. The interesting thing for LoopLab</t>
  </si>
  <si>
    <t xml:space="preserve">Not in v0.1, add in v0.2</t>
  </si>
  <si>
    <t xml:space="preserve">Prof</t>
  </si>
  <si>
    <t xml:space="preserve">League size, divisions and season length?</t>
  </si>
  <si>
    <t xml:space="preserve">Schedule and placement</t>
  </si>
  <si>
    <t xml:space="preserve">12 teams, 2 divisions, 10 weeks</t>
  </si>
  <si>
    <t xml:space="preserve">Are playoffs in scope? (BracketUI and playoff_bracket exist)</t>
  </si>
  <si>
    <t xml:space="preserve">Changes placement rewards</t>
  </si>
  <si>
    <t xml:space="preserve">Regular season only</t>
  </si>
  <si>
    <t xml:space="preserve">Ties allowed?</t>
  </si>
  <si>
    <t xml:space="preserve">Schema enum</t>
  </si>
  <si>
    <t xml:space="preserve">No ties</t>
  </si>
  <si>
    <t xml:space="preserve">AI team</t>
  </si>
  <si>
    <t xml:space="preserve">Placement tiebreak rule? The game sorts by points only</t>
  </si>
  <si>
    <t xml:space="preserve">Season rewards</t>
  </si>
  <si>
    <t xml:space="preserve">points, point_diff, points_for, team_id</t>
  </si>
  <si>
    <t xml:space="preserve">Do score or margin affect rewards, or only W/L and placement?</t>
  </si>
  <si>
    <t xml:space="preserve">Whether Economy reads points_for</t>
  </si>
  <si>
    <t xml:space="preserve">W/L + placement only</t>
  </si>
  <si>
    <t xml:space="preserve">Economy, LoopLab</t>
  </si>
  <si>
    <t xml:space="preserve">Who owns coin values per game, win and placement?</t>
  </si>
  <si>
    <t xml:space="preserve">Bhuvan's fake income risk</t>
  </si>
  <si>
    <t xml:space="preserve">Economy proposes, LoopLab validates</t>
  </si>
  <si>
    <t xml:space="preserve">What format does LoopLab want, CSV or Machinations XML like Economy V2?</t>
  </si>
  <si>
    <t xml:space="preserve">Handoff</t>
  </si>
  <si>
    <t xml:space="preserve">CSV + JSON</t>
  </si>
  <si>
    <t xml:space="preserve">Aditya, Rahul</t>
  </si>
  <si>
    <t xml:space="preserve">Where do DM systems read the data? Fill StreamingAssets/Coaches/Database/game.json (null today) or a new StreamingAssets/GameOutcomes/ folder?</t>
  </si>
  <si>
    <t xml:space="preserve">DM systems testing path</t>
  </si>
  <si>
    <t xml:space="preserve">New GameOutcomes/ folder</t>
  </si>
  <si>
    <t xml:space="preserve">Bhuvan, Prof</t>
  </si>
  <si>
    <t xml:space="preserve">Consecutive win bonus (2) is in progression.json but not coded. Implement it using current_streak?</t>
  </si>
  <si>
    <t xml:space="preserve">Streak field has a consumer</t>
  </si>
  <si>
    <t xml:space="preserve">Yes, separate Progression task</t>
  </si>
  <si>
    <t xml:space="preserve">Does CCAS consume game results (packs on wins)?</t>
  </si>
  <si>
    <t xml:space="preserve">Might add fields</t>
  </si>
  <si>
    <t xml:space="preserve">No</t>
  </si>
  <si>
    <t xml:space="preserve">CCAS lead</t>
  </si>
  <si>
    <t xml:space="preserve">What will the MGI AI team actually emit and when? Who maps it to this schema?</t>
  </si>
  <si>
    <t xml:space="preserve">The live switch</t>
  </si>
  <si>
    <t xml:space="preserve">AI team maps to schema</t>
  </si>
  <si>
    <t xml:space="preserve">Prof, AI team</t>
  </si>
  <si>
    <t xml:space="preserve">Per-player stats per game (for player progression or cards)?</t>
  </si>
  <si>
    <t xml:space="preserve">Scope</t>
  </si>
  <si>
    <t xml:space="preserve">Not in v0.1</t>
  </si>
  <si>
    <t xml:space="preserve">The in-game SimulateWeek is a coin flip and wins != losses league-wide. Fix now or wait for live data?</t>
  </si>
  <si>
    <t xml:space="preserve">Any in-Unity test today uses broken data</t>
  </si>
  <si>
    <t xml:space="preserve">File as separate bug</t>
  </si>
  <si>
    <t xml:space="preserve">JSON_Example  |  one game = 2 rows</t>
  </si>
  <si>
    <t xml:space="preserve">game_outcomes.json shape: {schema_version, games: [...], seasons: [...]}</t>
  </si>
  <si>
    <t xml:space="preserve">{</t>
  </si>
  <si>
    <t xml:space="preserve">  "schema_version": "0.1",</t>
  </si>
  <si>
    <t xml:space="preserve">  "games": [</t>
  </si>
  <si>
    <t xml:space="preserve">    {</t>
  </si>
  <si>
    <t xml:space="preserve">      "schema_version": "0.1",</t>
  </si>
  <si>
    <t xml:space="preserve">      "source": "simulator",</t>
  </si>
  <si>
    <t xml:space="preserve">      "run_id": "run-42",</t>
  </si>
  <si>
    <t xml:space="preserve">      "seed": 42,</t>
  </si>
  <si>
    <t xml:space="preserve">      "season_id": "S0001",</t>
  </si>
  <si>
    <t xml:space="preserve">      "week": 1,</t>
  </si>
  <si>
    <t xml:space="preserve">      "game_id": "S0001-w01-g01",</t>
  </si>
  <si>
    <t xml:space="preserve">      "event_id": "S0001-w01-g01:22dda48d-9e4d-469d-8e17-eb48dd5a58d7",</t>
  </si>
  <si>
    <t xml:space="preserve">      "game_type": "regular",</t>
  </si>
  <si>
    <t xml:space="preserve">      "played_at": "2026-09-06T18:00:00+00:00",</t>
  </si>
  <si>
    <t xml:space="preserve">      "team_id": "22dda48d-9e4d-469d-8e17-eb48dd5a58d7",</t>
  </si>
  <si>
    <t xml:space="preserve">      "team_name": "Buffalo Bills",</t>
  </si>
  <si>
    <t xml:space="preserve">      "is_player_team": false,</t>
  </si>
  <si>
    <t xml:space="preserve">      "player_id": "",</t>
  </si>
  <si>
    <t xml:space="preserve">      "league": "NFL",</t>
  </si>
  <si>
    <t xml:space="preserve">      "division": "East",</t>
  </si>
  <si>
    <t xml:space="preserve">      "opponent_id": "00000000-0000-0000-0000-000000000001",</t>
  </si>
  <si>
    <t xml:space="preserve">      "opponent_name": "Player Team",</t>
  </si>
  <si>
    <t xml:space="preserve">      "home_away": "home",</t>
  </si>
  <si>
    <t xml:space="preserve">      "result": "W",</t>
  </si>
  <si>
    <t xml:space="preserve">      "points_for": 32,</t>
  </si>
  <si>
    <t xml:space="preserve">      "points_against": 25,</t>
  </si>
  <si>
    <t xml:space="preserve">      "margin": 7,</t>
  </si>
  <si>
    <t xml:space="preserve">      "wins_to_date": 1,</t>
  </si>
  <si>
    <t xml:space="preserve">      "losses_to_date": 0,</t>
  </si>
  <si>
    <t xml:space="preserve">      "current_streak": 1,</t>
  </si>
  <si>
    <t xml:space="preserve">      "standing_points_to_date": 2,</t>
  </si>
  <si>
    <t xml:space="preserve">      "team_strength": 83.18,</t>
  </si>
  <si>
    <t xml:space="preserve">      "opponent_strength": 70.69,</t>
  </si>
  <si>
    <t xml:space="preserve">      "win_probability": 0.7612</t>
  </si>
  <si>
    <t xml:space="preserve">    },</t>
  </si>
  <si>
    <t xml:space="preserve">      "event_id": "S0001-w01-g01:00000000-0000-0000-0000-000000000001",</t>
  </si>
  <si>
    <t xml:space="preserve">      "team_id": "00000000-0000-0000-0000-000000000001",</t>
  </si>
  <si>
    <t xml:space="preserve">      "team_name": "Player Team",</t>
  </si>
  <si>
    <t xml:space="preserve">      "is_player_team": true,</t>
  </si>
  <si>
    <t xml:space="preserve">      "player_id": "player_001",</t>
  </si>
  <si>
    <t xml:space="preserve">      "division": "West",</t>
  </si>
  <si>
    <t xml:space="preserve">      "opponent_id": "22dda48d-9e4d-469d-8e17-eb48dd5a58d7",</t>
  </si>
  <si>
    <t xml:space="preserve">      "opponent_name": "Buffalo Bills",</t>
  </si>
  <si>
    <t xml:space="preserve">      "home_away": "away",</t>
  </si>
  <si>
    <t xml:space="preserve">      "result": "L",</t>
  </si>
  <si>
    <t xml:space="preserve">      "points_for": 25,</t>
  </si>
  <si>
    <t xml:space="preserve">      "points_against": 32,</t>
  </si>
  <si>
    <t xml:space="preserve">      "margin": -7,</t>
  </si>
  <si>
    <t xml:space="preserve">      "wins_to_date": 0,</t>
  </si>
  <si>
    <t xml:space="preserve">      "losses_to_date": 1,</t>
  </si>
  <si>
    <t xml:space="preserve">      "current_streak": -1,</t>
  </si>
  <si>
    <t xml:space="preserve">      "standing_points_to_date": 0,</t>
  </si>
  <si>
    <t xml:space="preserve">      "team_strength": 70.69,</t>
  </si>
  <si>
    <t xml:space="preserve">      "opponent_strength": 83.18,</t>
  </si>
  <si>
    <t xml:space="preserve">      "win_probability": 0.2388</t>
  </si>
  <si>
    <t xml:space="preserve">    }</t>
  </si>
  <si>
    <t xml:space="preserve">  ],</t>
  </si>
  <si>
    <t xml:space="preserve">  "seasons": [</t>
  </si>
  <si>
    <t xml:space="preserve">    "..."</t>
  </si>
  <si>
    <t xml:space="preserve">  ]</t>
  </si>
  <si>
    <t xml:space="preserve">}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</si>
</sst>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"/>
    <numFmt numFmtId="167" formatCode="0.0%"/>
    <numFmt numFmtId="168" formatCode="0%"/>
    <numFmt numFmtId="169" formatCode="#,##0"/>
    <numFmt numFmtId="170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595959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8CBAD"/>
        <bgColor rgb="FFD9D9D9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FF6600"/>
      <rgbColor rgb="FF595959"/>
      <rgbColor rgb="FF70AD47"/>
      <rgbColor rgb="FF1F3864"/>
      <rgbColor rgb="FF4F81BD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probability vs strength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Win_Prob_Curve!B4</c:f>
              <c:strCache>
                <c:ptCount val="1"/>
                <c:pt idx="0">
                  <c:v>P(win) at home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Win_Prob_Curve!$A$5:$A$35</c:f>
              <c:strCache>
                <c:ptCount val="31"/>
                <c:pt idx="0">
                  <c:v>-30</c:v>
                </c:pt>
                <c:pt idx="1">
                  <c:v>-28</c:v>
                </c:pt>
                <c:pt idx="2">
                  <c:v>-26</c:v>
                </c:pt>
                <c:pt idx="3">
                  <c:v>-24</c:v>
                </c:pt>
                <c:pt idx="4">
                  <c:v>-22</c:v>
                </c:pt>
                <c:pt idx="5">
                  <c:v>-20</c:v>
                </c:pt>
                <c:pt idx="6">
                  <c:v>-18</c:v>
                </c:pt>
                <c:pt idx="7">
                  <c:v>-16</c:v>
                </c:pt>
                <c:pt idx="8">
                  <c:v>-14</c:v>
                </c:pt>
                <c:pt idx="9">
                  <c:v>-12</c:v>
                </c:pt>
                <c:pt idx="10">
                  <c:v>-10</c:v>
                </c:pt>
                <c:pt idx="11">
                  <c:v>-8</c:v>
                </c:pt>
                <c:pt idx="12">
                  <c:v>-6</c:v>
                </c:pt>
                <c:pt idx="13">
                  <c:v>-4</c:v>
                </c:pt>
                <c:pt idx="14">
                  <c:v>-2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strCache>
            </c:strRef>
          </c:cat>
          <c:val>
            <c:numRef>
              <c:f>Win_Prob_Curve!$B$5:$B$35</c:f>
              <c:numCache>
                <c:formatCode>0.0%</c:formatCode>
                <c:ptCount val="31"/>
                <c:pt idx="0">
                  <c:v>0.0962155417106928</c:v>
                </c:pt>
                <c:pt idx="1">
                  <c:v>0.111055966711408</c:v>
                </c:pt>
                <c:pt idx="2">
                  <c:v>0.127861566319081</c:v>
                </c:pt>
                <c:pt idx="3">
                  <c:v>0.146790339801382</c:v>
                </c:pt>
                <c:pt idx="4">
                  <c:v>0.167981614866076</c:v>
                </c:pt>
                <c:pt idx="5">
                  <c:v>0.191545348561468</c:v>
                </c:pt>
                <c:pt idx="6">
                  <c:v>0.217550223576888</c:v>
                </c:pt>
                <c:pt idx="7">
                  <c:v>0.246011283551052</c:v>
                </c:pt>
                <c:pt idx="8">
                  <c:v>0.27687819487561</c:v>
                </c:pt>
                <c:pt idx="9">
                  <c:v>0.310025518872388</c:v>
                </c:pt>
                <c:pt idx="10">
                  <c:v>0.345246539393681</c:v>
                </c:pt>
                <c:pt idx="11">
                  <c:v>0.382252125230751</c:v>
                </c:pt>
                <c:pt idx="12">
                  <c:v>0.420675747851251</c:v>
                </c:pt>
                <c:pt idx="13">
                  <c:v>0.460085115444434</c:v>
                </c:pt>
                <c:pt idx="14">
                  <c:v>0.5</c:v>
                </c:pt>
                <c:pt idx="15">
                  <c:v>0.539914884555566</c:v>
                </c:pt>
                <c:pt idx="16">
                  <c:v>0.57932425214875</c:v>
                </c:pt>
                <c:pt idx="17">
                  <c:v>0.617747874769249</c:v>
                </c:pt>
                <c:pt idx="18">
                  <c:v>0.654753460606319</c:v>
                </c:pt>
                <c:pt idx="19">
                  <c:v>0.689974481127613</c:v>
                </c:pt>
                <c:pt idx="20">
                  <c:v>0.72312180512439</c:v>
                </c:pt>
                <c:pt idx="21">
                  <c:v>0.753988716448948</c:v>
                </c:pt>
                <c:pt idx="22">
                  <c:v>0.782449776423112</c:v>
                </c:pt>
                <c:pt idx="23">
                  <c:v>0.808454651438533</c:v>
                </c:pt>
                <c:pt idx="24">
                  <c:v>0.832018385133925</c:v>
                </c:pt>
                <c:pt idx="25">
                  <c:v>0.853209660198618</c:v>
                </c:pt>
                <c:pt idx="26">
                  <c:v>0.872138433680919</c:v>
                </c:pt>
                <c:pt idx="27">
                  <c:v>0.888944033288592</c:v>
                </c:pt>
                <c:pt idx="28">
                  <c:v>0.903784458289307</c:v>
                </c:pt>
                <c:pt idx="29">
                  <c:v>0.916827303506078</c:v>
                </c:pt>
                <c:pt idx="30">
                  <c:v>0.928242457736249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Win_Prob_Curve!C4</c:f>
              <c:strCache>
                <c:ptCount val="1"/>
                <c:pt idx="0">
                  <c:v>P(win) neutral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Win_Prob_Curve!$A$5:$A$35</c:f>
              <c:strCache>
                <c:ptCount val="31"/>
                <c:pt idx="0">
                  <c:v>-30</c:v>
                </c:pt>
                <c:pt idx="1">
                  <c:v>-28</c:v>
                </c:pt>
                <c:pt idx="2">
                  <c:v>-26</c:v>
                </c:pt>
                <c:pt idx="3">
                  <c:v>-24</c:v>
                </c:pt>
                <c:pt idx="4">
                  <c:v>-22</c:v>
                </c:pt>
                <c:pt idx="5">
                  <c:v>-20</c:v>
                </c:pt>
                <c:pt idx="6">
                  <c:v>-18</c:v>
                </c:pt>
                <c:pt idx="7">
                  <c:v>-16</c:v>
                </c:pt>
                <c:pt idx="8">
                  <c:v>-14</c:v>
                </c:pt>
                <c:pt idx="9">
                  <c:v>-12</c:v>
                </c:pt>
                <c:pt idx="10">
                  <c:v>-10</c:v>
                </c:pt>
                <c:pt idx="11">
                  <c:v>-8</c:v>
                </c:pt>
                <c:pt idx="12">
                  <c:v>-6</c:v>
                </c:pt>
                <c:pt idx="13">
                  <c:v>-4</c:v>
                </c:pt>
                <c:pt idx="14">
                  <c:v>-2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strCache>
            </c:strRef>
          </c:cat>
          <c:val>
            <c:numRef>
              <c:f>Win_Prob_Curve!$C$5:$C$35</c:f>
              <c:numCache>
                <c:formatCode>0.0%</c:formatCode>
                <c:ptCount val="31"/>
                <c:pt idx="0">
                  <c:v>0.0831726964939224</c:v>
                </c:pt>
                <c:pt idx="1">
                  <c:v>0.0962155417106928</c:v>
                </c:pt>
                <c:pt idx="2">
                  <c:v>0.111055966711408</c:v>
                </c:pt>
                <c:pt idx="3">
                  <c:v>0.127861566319081</c:v>
                </c:pt>
                <c:pt idx="4">
                  <c:v>0.146790339801382</c:v>
                </c:pt>
                <c:pt idx="5">
                  <c:v>0.167981614866076</c:v>
                </c:pt>
                <c:pt idx="6">
                  <c:v>0.191545348561468</c:v>
                </c:pt>
                <c:pt idx="7">
                  <c:v>0.217550223576888</c:v>
                </c:pt>
                <c:pt idx="8">
                  <c:v>0.246011283551052</c:v>
                </c:pt>
                <c:pt idx="9">
                  <c:v>0.27687819487561</c:v>
                </c:pt>
                <c:pt idx="10">
                  <c:v>0.310025518872388</c:v>
                </c:pt>
                <c:pt idx="11">
                  <c:v>0.345246539393681</c:v>
                </c:pt>
                <c:pt idx="12">
                  <c:v>0.382252125230751</c:v>
                </c:pt>
                <c:pt idx="13">
                  <c:v>0.420675747851251</c:v>
                </c:pt>
                <c:pt idx="14">
                  <c:v>0.460085115444434</c:v>
                </c:pt>
                <c:pt idx="15">
                  <c:v>0.5</c:v>
                </c:pt>
                <c:pt idx="16">
                  <c:v>0.539914884555566</c:v>
                </c:pt>
                <c:pt idx="17">
                  <c:v>0.57932425214875</c:v>
                </c:pt>
                <c:pt idx="18">
                  <c:v>0.617747874769249</c:v>
                </c:pt>
                <c:pt idx="19">
                  <c:v>0.654753460606319</c:v>
                </c:pt>
                <c:pt idx="20">
                  <c:v>0.689974481127613</c:v>
                </c:pt>
                <c:pt idx="21">
                  <c:v>0.72312180512439</c:v>
                </c:pt>
                <c:pt idx="22">
                  <c:v>0.753988716448948</c:v>
                </c:pt>
                <c:pt idx="23">
                  <c:v>0.782449776423112</c:v>
                </c:pt>
                <c:pt idx="24">
                  <c:v>0.808454651438533</c:v>
                </c:pt>
                <c:pt idx="25">
                  <c:v>0.832018385133925</c:v>
                </c:pt>
                <c:pt idx="26">
                  <c:v>0.853209660198618</c:v>
                </c:pt>
                <c:pt idx="27">
                  <c:v>0.872138433680919</c:v>
                </c:pt>
                <c:pt idx="28">
                  <c:v>0.888944033288592</c:v>
                </c:pt>
                <c:pt idx="29">
                  <c:v>0.903784458289307</c:v>
                </c:pt>
                <c:pt idx="30">
                  <c:v>0.916827303506078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Win_Prob_Curve!D4</c:f>
              <c:strCache>
                <c:ptCount val="1"/>
                <c:pt idx="0">
                  <c:v>P(win) away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Win_Prob_Curve!$A$5:$A$35</c:f>
              <c:strCache>
                <c:ptCount val="31"/>
                <c:pt idx="0">
                  <c:v>-30</c:v>
                </c:pt>
                <c:pt idx="1">
                  <c:v>-28</c:v>
                </c:pt>
                <c:pt idx="2">
                  <c:v>-26</c:v>
                </c:pt>
                <c:pt idx="3">
                  <c:v>-24</c:v>
                </c:pt>
                <c:pt idx="4">
                  <c:v>-22</c:v>
                </c:pt>
                <c:pt idx="5">
                  <c:v>-20</c:v>
                </c:pt>
                <c:pt idx="6">
                  <c:v>-18</c:v>
                </c:pt>
                <c:pt idx="7">
                  <c:v>-16</c:v>
                </c:pt>
                <c:pt idx="8">
                  <c:v>-14</c:v>
                </c:pt>
                <c:pt idx="9">
                  <c:v>-12</c:v>
                </c:pt>
                <c:pt idx="10">
                  <c:v>-10</c:v>
                </c:pt>
                <c:pt idx="11">
                  <c:v>-8</c:v>
                </c:pt>
                <c:pt idx="12">
                  <c:v>-6</c:v>
                </c:pt>
                <c:pt idx="13">
                  <c:v>-4</c:v>
                </c:pt>
                <c:pt idx="14">
                  <c:v>-2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strCache>
            </c:strRef>
          </c:cat>
          <c:val>
            <c:numRef>
              <c:f>Win_Prob_Curve!$D$5:$D$35</c:f>
              <c:numCache>
                <c:formatCode>0.0%</c:formatCode>
                <c:ptCount val="31"/>
                <c:pt idx="0">
                  <c:v>0.0717575422637513</c:v>
                </c:pt>
                <c:pt idx="1">
                  <c:v>0.0831726964939224</c:v>
                </c:pt>
                <c:pt idx="2">
                  <c:v>0.0962155417106928</c:v>
                </c:pt>
                <c:pt idx="3">
                  <c:v>0.111055966711408</c:v>
                </c:pt>
                <c:pt idx="4">
                  <c:v>0.127861566319081</c:v>
                </c:pt>
                <c:pt idx="5">
                  <c:v>0.146790339801382</c:v>
                </c:pt>
                <c:pt idx="6">
                  <c:v>0.167981614866076</c:v>
                </c:pt>
                <c:pt idx="7">
                  <c:v>0.191545348561468</c:v>
                </c:pt>
                <c:pt idx="8">
                  <c:v>0.217550223576888</c:v>
                </c:pt>
                <c:pt idx="9">
                  <c:v>0.246011283551052</c:v>
                </c:pt>
                <c:pt idx="10">
                  <c:v>0.27687819487561</c:v>
                </c:pt>
                <c:pt idx="11">
                  <c:v>0.310025518872388</c:v>
                </c:pt>
                <c:pt idx="12">
                  <c:v>0.345246539393681</c:v>
                </c:pt>
                <c:pt idx="13">
                  <c:v>0.382252125230751</c:v>
                </c:pt>
                <c:pt idx="14">
                  <c:v>0.420675747851251</c:v>
                </c:pt>
                <c:pt idx="15">
                  <c:v>0.460085115444434</c:v>
                </c:pt>
                <c:pt idx="16">
                  <c:v>0.5</c:v>
                </c:pt>
                <c:pt idx="17">
                  <c:v>0.539914884555566</c:v>
                </c:pt>
                <c:pt idx="18">
                  <c:v>0.57932425214875</c:v>
                </c:pt>
                <c:pt idx="19">
                  <c:v>0.617747874769249</c:v>
                </c:pt>
                <c:pt idx="20">
                  <c:v>0.654753460606319</c:v>
                </c:pt>
                <c:pt idx="21">
                  <c:v>0.689974481127613</c:v>
                </c:pt>
                <c:pt idx="22">
                  <c:v>0.72312180512439</c:v>
                </c:pt>
                <c:pt idx="23">
                  <c:v>0.753988716448948</c:v>
                </c:pt>
                <c:pt idx="24">
                  <c:v>0.782449776423112</c:v>
                </c:pt>
                <c:pt idx="25">
                  <c:v>0.808454651438533</c:v>
                </c:pt>
                <c:pt idx="26">
                  <c:v>0.832018385133925</c:v>
                </c:pt>
                <c:pt idx="27">
                  <c:v>0.853209660198618</c:v>
                </c:pt>
                <c:pt idx="28">
                  <c:v>0.872138433680919</c:v>
                </c:pt>
                <c:pt idx="29">
                  <c:v>0.888944033288592</c:v>
                </c:pt>
                <c:pt idx="30">
                  <c:v>0.903784458289307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60383"/>
        <c:axId val="34890008"/>
      </c:lineChart>
      <c:catAx>
        <c:axId val="8960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Strength gap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90008"/>
        <c:crosses val="autoZero"/>
        <c:auto val="1"/>
        <c:lblAlgn val="ctr"/>
        <c:lblOffset val="100"/>
        <c:noMultiLvlLbl val="0"/>
      </c:catAx>
      <c:valAx>
        <c:axId val="34890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P(win)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0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strength vs average wins (2,000 seasons)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"Teams"</c:f>
              <c:strCache>
                <c:ptCount val="1"/>
                <c:pt idx="0">
                  <c:v>Teams</c:v>
                </c:pt>
              </c:strCache>
            </c:strRef>
          </c:tx>
          <c:spPr>
            <a:solidFill>
              <a:srgbClr val="2f5597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Monte_Carlo!$C$5:$C$16</c:f>
              <c:numCache>
                <c:formatCode>General</c:formatCode>
                <c:ptCount val="12"/>
                <c:pt idx="0">
                  <c:v>83.18</c:v>
                </c:pt>
                <c:pt idx="1">
                  <c:v>76.32</c:v>
                </c:pt>
                <c:pt idx="2">
                  <c:v>76.13</c:v>
                </c:pt>
                <c:pt idx="3">
                  <c:v>73.44</c:v>
                </c:pt>
                <c:pt idx="4">
                  <c:v>71.54</c:v>
                </c:pt>
                <c:pt idx="5">
                  <c:v>70.69</c:v>
                </c:pt>
                <c:pt idx="6">
                  <c:v>69.16</c:v>
                </c:pt>
                <c:pt idx="7">
                  <c:v>68.39</c:v>
                </c:pt>
                <c:pt idx="8">
                  <c:v>66.15</c:v>
                </c:pt>
                <c:pt idx="9">
                  <c:v>65.53</c:v>
                </c:pt>
                <c:pt idx="10">
                  <c:v>63.04</c:v>
                </c:pt>
                <c:pt idx="11">
                  <c:v>58.14</c:v>
                </c:pt>
              </c:numCache>
            </c:numRef>
          </c:xVal>
          <c:yVal>
            <c:numRef>
              <c:f>Monte_Carlo!$D$5:$D$16</c:f>
              <c:numCache>
                <c:formatCode>General</c:formatCode>
                <c:ptCount val="12"/>
                <c:pt idx="0">
                  <c:v>7.459</c:v>
                </c:pt>
                <c:pt idx="1">
                  <c:v>6.372</c:v>
                </c:pt>
                <c:pt idx="2">
                  <c:v>5.75</c:v>
                </c:pt>
                <c:pt idx="3">
                  <c:v>5.843</c:v>
                </c:pt>
                <c:pt idx="4">
                  <c:v>5.393</c:v>
                </c:pt>
                <c:pt idx="5">
                  <c:v>5.248</c:v>
                </c:pt>
                <c:pt idx="6">
                  <c:v>4.651</c:v>
                </c:pt>
                <c:pt idx="7">
                  <c:v>4.466</c:v>
                </c:pt>
                <c:pt idx="8">
                  <c:v>4.057</c:v>
                </c:pt>
                <c:pt idx="9">
                  <c:v>4.29</c:v>
                </c:pt>
                <c:pt idx="10">
                  <c:v>3.954</c:v>
                </c:pt>
                <c:pt idx="11">
                  <c:v>2.518</c:v>
                </c:pt>
              </c:numCache>
            </c:numRef>
          </c:yVal>
          <c:smooth val="1"/>
        </c:ser>
        <c:axId val="89641270"/>
        <c:axId val="53876493"/>
      </c:scatterChart>
      <c:valAx>
        <c:axId val="89641270"/>
        <c:scaling>
          <c:orientation val="minMax"/>
          <c:min val="5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Team strength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76493"/>
        <c:crosses val="autoZero"/>
        <c:crossBetween val="midCat"/>
      </c:valAx>
      <c:valAx>
        <c:axId val="5387649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wins per 10-game 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4127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Player Team placement (strength 70.7, 6th of 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Monte_Carlo!C19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Monte_Carlo!$A$20:$A$31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Monte_Carlo!$C$20:$C$31</c:f>
              <c:numCache>
                <c:formatCode>0.0%</c:formatCode>
                <c:ptCount val="12"/>
                <c:pt idx="0">
                  <c:v>0.0515</c:v>
                </c:pt>
                <c:pt idx="1">
                  <c:v>0.0835</c:v>
                </c:pt>
                <c:pt idx="2">
                  <c:v>0.0985</c:v>
                </c:pt>
                <c:pt idx="3">
                  <c:v>0.1055</c:v>
                </c:pt>
                <c:pt idx="4">
                  <c:v>0.122</c:v>
                </c:pt>
                <c:pt idx="5">
                  <c:v>0.105</c:v>
                </c:pt>
                <c:pt idx="6">
                  <c:v>0.0975</c:v>
                </c:pt>
                <c:pt idx="7">
                  <c:v>0.1015</c:v>
                </c:pt>
                <c:pt idx="8">
                  <c:v>0.077</c:v>
                </c:pt>
                <c:pt idx="9">
                  <c:v>0.074</c:v>
                </c:pt>
                <c:pt idx="10">
                  <c:v>0.058</c:v>
                </c:pt>
                <c:pt idx="11">
                  <c:v>0.026</c:v>
                </c:pt>
              </c:numCache>
            </c:numRef>
          </c:val>
        </c:ser>
        <c:gapWidth val="150"/>
        <c:overlap val="0"/>
        <c:axId val="23984390"/>
        <c:axId val="40701074"/>
      </c:barChart>
      <c:catAx>
        <c:axId val="23984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Placement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01074"/>
        <c:crosses val="autoZero"/>
        <c:auto val="1"/>
        <c:lblAlgn val="ctr"/>
        <c:lblOffset val="100"/>
        <c:noMultiLvlLbl val="0"/>
      </c:catAx>
      <c:valAx>
        <c:axId val="40701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seasons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84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Winning margin (points)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Monte_Carlo!C34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Monte_Carlo!$A$35:$A$40</c:f>
              <c:strCache>
                <c:ptCount val="6"/>
                <c:pt idx="0">
                  <c:v>1-3</c:v>
                </c:pt>
                <c:pt idx="1">
                  <c:v>4-7</c:v>
                </c:pt>
                <c:pt idx="2">
                  <c:v>8-14</c:v>
                </c:pt>
                <c:pt idx="3">
                  <c:v>15-21</c:v>
                </c:pt>
                <c:pt idx="4">
                  <c:v>22-28</c:v>
                </c:pt>
                <c:pt idx="5">
                  <c:v>29+</c:v>
                </c:pt>
              </c:strCache>
            </c:strRef>
          </c:cat>
          <c:val>
            <c:numRef>
              <c:f>Monte_Carlo!$C$35:$C$40</c:f>
              <c:numCache>
                <c:formatCode>0.0%</c:formatCode>
                <c:ptCount val="6"/>
                <c:pt idx="0">
                  <c:v>0.279691666666667</c:v>
                </c:pt>
                <c:pt idx="1">
                  <c:v>0.283191666666667</c:v>
                </c:pt>
                <c:pt idx="2">
                  <c:v>0.308866666666667</c:v>
                </c:pt>
                <c:pt idx="3">
                  <c:v>0.107491666666667</c:v>
                </c:pt>
                <c:pt idx="4">
                  <c:v>0.0188833333333333</c:v>
                </c:pt>
                <c:pt idx="5">
                  <c:v>0.001875</c:v>
                </c:pt>
              </c:numCache>
            </c:numRef>
          </c:val>
        </c:ser>
        <c:gapWidth val="150"/>
        <c:overlap val="0"/>
        <c:axId val="97341161"/>
        <c:axId val="41296288"/>
      </c:barChart>
      <c:catAx>
        <c:axId val="97341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96288"/>
        <c:crosses val="autoZero"/>
        <c:auto val="1"/>
        <c:lblAlgn val="ctr"/>
        <c:lblOffset val="100"/>
        <c:noMultiLvlLbl val="0"/>
      </c:catAx>
      <c:valAx>
        <c:axId val="41296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games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411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Result-based coins vs cost to max all facilities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Coin_Calibration!B30</c:f>
              <c:strCache>
                <c:ptCount val="1"/>
                <c:pt idx="0">
                  <c:v>Cumulative coins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Coin_Calibration!$A$31:$A$45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Coin_Calibration!$B$31:$B$45</c:f>
              <c:numCache>
                <c:formatCode>#,##0</c:formatCode>
                <c:ptCount val="15"/>
                <c:pt idx="0">
                  <c:v>110880</c:v>
                </c:pt>
                <c:pt idx="1">
                  <c:v>221760</c:v>
                </c:pt>
                <c:pt idx="2">
                  <c:v>332640</c:v>
                </c:pt>
                <c:pt idx="3">
                  <c:v>443520</c:v>
                </c:pt>
                <c:pt idx="4">
                  <c:v>554400</c:v>
                </c:pt>
                <c:pt idx="5">
                  <c:v>665280</c:v>
                </c:pt>
                <c:pt idx="6">
                  <c:v>776160</c:v>
                </c:pt>
                <c:pt idx="7">
                  <c:v>887040</c:v>
                </c:pt>
                <c:pt idx="8">
                  <c:v>997920</c:v>
                </c:pt>
                <c:pt idx="9">
                  <c:v>1108800</c:v>
                </c:pt>
                <c:pt idx="10">
                  <c:v>1219680</c:v>
                </c:pt>
                <c:pt idx="11">
                  <c:v>1330560</c:v>
                </c:pt>
                <c:pt idx="12">
                  <c:v>1441440</c:v>
                </c:pt>
                <c:pt idx="13">
                  <c:v>1552320</c:v>
                </c:pt>
                <c:pt idx="14">
                  <c:v>1663200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Coin_Calibration!C30</c:f>
              <c:strCache>
                <c:ptCount val="1"/>
                <c:pt idx="0">
                  <c:v>Max-all cost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Coin_Calibration!$A$31:$A$45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Coin_Calibration!$C$31:$C$45</c:f>
              <c:numCache>
                <c:formatCode>#,##0</c:formatCode>
                <c:ptCount val="15"/>
                <c:pt idx="0">
                  <c:v>1158000</c:v>
                </c:pt>
                <c:pt idx="1">
                  <c:v>1158000</c:v>
                </c:pt>
                <c:pt idx="2">
                  <c:v>1158000</c:v>
                </c:pt>
                <c:pt idx="3">
                  <c:v>1158000</c:v>
                </c:pt>
                <c:pt idx="4">
                  <c:v>1158000</c:v>
                </c:pt>
                <c:pt idx="5">
                  <c:v>1158000</c:v>
                </c:pt>
                <c:pt idx="6">
                  <c:v>1158000</c:v>
                </c:pt>
                <c:pt idx="7">
                  <c:v>1158000</c:v>
                </c:pt>
                <c:pt idx="8">
                  <c:v>1158000</c:v>
                </c:pt>
                <c:pt idx="9">
                  <c:v>1158000</c:v>
                </c:pt>
                <c:pt idx="10">
                  <c:v>1158000</c:v>
                </c:pt>
                <c:pt idx="11">
                  <c:v>1158000</c:v>
                </c:pt>
                <c:pt idx="12">
                  <c:v>1158000</c:v>
                </c:pt>
                <c:pt idx="13">
                  <c:v>1158000</c:v>
                </c:pt>
                <c:pt idx="14">
                  <c:v>1158000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828594"/>
        <c:axId val="1226561"/>
      </c:lineChart>
      <c:catAx>
        <c:axId val="54828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6561"/>
        <c:crosses val="autoZero"/>
        <c:auto val="1"/>
        <c:lblAlgn val="ctr"/>
        <c:lblOffset val="100"/>
        <c:noMultiLvlLbl val="0"/>
      </c:catAx>
      <c:valAx>
        <c:axId val="1226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28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364320</xdr:colOff>
      <xdr:row>18</xdr:row>
      <xdr:rowOff>172080</xdr:rowOff>
    </xdr:to>
    <xdr:graphicFrame>
      <xdr:nvGraphicFramePr>
        <xdr:cNvPr id="0" name="Chart 1"/>
        <xdr:cNvGraphicFramePr/>
      </xdr:nvGraphicFramePr>
      <xdr:xfrm>
        <a:off x="61092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131040</xdr:rowOff>
    </xdr:from>
    <xdr:to>
      <xdr:col>19</xdr:col>
      <xdr:colOff>255960</xdr:colOff>
      <xdr:row>18</xdr:row>
      <xdr:rowOff>172080</xdr:rowOff>
    </xdr:to>
    <xdr:graphicFrame>
      <xdr:nvGraphicFramePr>
        <xdr:cNvPr id="1" name="Chart 1"/>
        <xdr:cNvGraphicFramePr/>
      </xdr:nvGraphicFramePr>
      <xdr:xfrm>
        <a:off x="794196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171000</xdr:rowOff>
    </xdr:from>
    <xdr:to>
      <xdr:col>19</xdr:col>
      <xdr:colOff>255960</xdr:colOff>
      <xdr:row>37</xdr:row>
      <xdr:rowOff>172080</xdr:rowOff>
    </xdr:to>
    <xdr:graphicFrame>
      <xdr:nvGraphicFramePr>
        <xdr:cNvPr id="2" name="Chart 2"/>
        <xdr:cNvGraphicFramePr/>
      </xdr:nvGraphicFramePr>
      <xdr:xfrm>
        <a:off x="7941960" y="4191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39</xdr:row>
      <xdr:rowOff>171000</xdr:rowOff>
    </xdr:from>
    <xdr:to>
      <xdr:col>19</xdr:col>
      <xdr:colOff>255960</xdr:colOff>
      <xdr:row>56</xdr:row>
      <xdr:rowOff>172080</xdr:rowOff>
    </xdr:to>
    <xdr:graphicFrame>
      <xdr:nvGraphicFramePr>
        <xdr:cNvPr id="3" name="Chart 3"/>
        <xdr:cNvGraphicFramePr/>
      </xdr:nvGraphicFramePr>
      <xdr:xfrm>
        <a:off x="7941960" y="781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18</xdr:col>
      <xdr:colOff>364320</xdr:colOff>
      <xdr:row>19</xdr:row>
      <xdr:rowOff>132120</xdr:rowOff>
    </xdr:to>
    <xdr:graphicFrame>
      <xdr:nvGraphicFramePr>
        <xdr:cNvPr id="4" name="Chart 1"/>
        <xdr:cNvGraphicFramePr/>
      </xdr:nvGraphicFramePr>
      <xdr:xfrm>
        <a:off x="87876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39.55" hidden="false" customHeight="false" outlineLevel="0" collapsed="false">
      <c r="A4" s="4" t="s">
        <v>2</v>
      </c>
      <c r="B4" s="5" t="s">
        <v>3</v>
      </c>
    </row>
    <row r="5" customFormat="false" ht="39.5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6" t="s">
        <v>6</v>
      </c>
      <c r="B7" s="2"/>
    </row>
    <row r="8" customFormat="false" ht="15" hidden="false" customHeight="false" outlineLevel="0" collapsed="false">
      <c r="A8" s="7" t="s">
        <v>7</v>
      </c>
      <c r="B8" s="7" t="s">
        <v>8</v>
      </c>
    </row>
    <row r="9" customFormat="false" ht="39.55" hidden="false" customHeight="false" outlineLevel="0" collapsed="false">
      <c r="A9" s="8" t="s">
        <v>9</v>
      </c>
      <c r="B9" s="8" t="s">
        <v>10</v>
      </c>
    </row>
    <row r="10" customFormat="false" ht="15" hidden="false" customHeight="false" outlineLevel="0" collapsed="false">
      <c r="A10" s="8" t="s">
        <v>11</v>
      </c>
      <c r="B10" s="8" t="s">
        <v>12</v>
      </c>
    </row>
    <row r="11" customFormat="false" ht="15" hidden="false" customHeight="false" outlineLevel="0" collapsed="false">
      <c r="A11" s="8" t="s">
        <v>13</v>
      </c>
      <c r="B11" s="8" t="s">
        <v>14</v>
      </c>
    </row>
    <row r="12" customFormat="false" ht="15" hidden="false" customHeight="false" outlineLevel="0" collapsed="false">
      <c r="A12" s="8" t="s">
        <v>15</v>
      </c>
      <c r="B12" s="8" t="s">
        <v>16</v>
      </c>
    </row>
    <row r="13" customFormat="false" ht="15" hidden="false" customHeight="false" outlineLevel="0" collapsed="false">
      <c r="A13" s="8" t="s">
        <v>17</v>
      </c>
      <c r="B13" s="8" t="s">
        <v>18</v>
      </c>
    </row>
    <row r="14" customFormat="false" ht="15" hidden="false" customHeight="false" outlineLevel="0" collapsed="false">
      <c r="A14" s="8" t="s">
        <v>19</v>
      </c>
      <c r="B14" s="8" t="s">
        <v>20</v>
      </c>
    </row>
    <row r="15" customFormat="false" ht="26.85" hidden="false" customHeight="false" outlineLevel="0" collapsed="false">
      <c r="A15" s="8" t="s">
        <v>21</v>
      </c>
      <c r="B15" s="8" t="s">
        <v>22</v>
      </c>
    </row>
    <row r="16" customFormat="false" ht="26.85" hidden="false" customHeight="false" outlineLevel="0" collapsed="false">
      <c r="A16" s="8" t="s">
        <v>23</v>
      </c>
      <c r="B16" s="8" t="s">
        <v>24</v>
      </c>
    </row>
    <row r="17" customFormat="false" ht="26.85" hidden="false" customHeight="false" outlineLevel="0" collapsed="false">
      <c r="A17" s="8" t="s">
        <v>25</v>
      </c>
      <c r="B17" s="8" t="s">
        <v>26</v>
      </c>
    </row>
    <row r="18" customFormat="false" ht="26.85" hidden="false" customHeight="false" outlineLevel="0" collapsed="false">
      <c r="A18" s="8" t="s">
        <v>27</v>
      </c>
      <c r="B18" s="8" t="s">
        <v>28</v>
      </c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6" t="s">
        <v>29</v>
      </c>
      <c r="B20" s="2"/>
    </row>
    <row r="21" customFormat="false" ht="15" hidden="false" customHeight="false" outlineLevel="0" collapsed="false">
      <c r="A21" s="7" t="s">
        <v>30</v>
      </c>
      <c r="B21" s="7" t="s">
        <v>31</v>
      </c>
    </row>
    <row r="22" customFormat="false" ht="15" hidden="false" customHeight="false" outlineLevel="0" collapsed="false">
      <c r="A22" s="8" t="s">
        <v>32</v>
      </c>
      <c r="B22" s="8" t="s">
        <v>33</v>
      </c>
    </row>
    <row r="23" customFormat="false" ht="15" hidden="false" customHeight="false" outlineLevel="0" collapsed="false">
      <c r="A23" s="8" t="s">
        <v>34</v>
      </c>
      <c r="B23" s="8" t="s">
        <v>35</v>
      </c>
    </row>
    <row r="24" customFormat="false" ht="15" hidden="false" customHeight="false" outlineLevel="0" collapsed="false">
      <c r="A24" s="8" t="s">
        <v>36</v>
      </c>
      <c r="B24" s="8" t="s">
        <v>37</v>
      </c>
    </row>
    <row r="25" customFormat="false" ht="15" hidden="false" customHeight="false" outlineLevel="0" collapsed="false">
      <c r="A25" s="8" t="s">
        <v>38</v>
      </c>
      <c r="B25" s="8" t="s">
        <v>39</v>
      </c>
    </row>
    <row r="26" customFormat="false" ht="15" hidden="false" customHeight="false" outlineLevel="0" collapsed="false">
      <c r="A26" s="8" t="s">
        <v>40</v>
      </c>
      <c r="B26" s="8" t="s">
        <v>41</v>
      </c>
    </row>
    <row r="27" customFormat="false" ht="15" hidden="false" customHeight="false" outlineLevel="0" collapsed="false">
      <c r="A27" s="8" t="s">
        <v>42</v>
      </c>
      <c r="B27" s="8" t="s">
        <v>43</v>
      </c>
    </row>
    <row r="28" customFormat="false" ht="15" hidden="false" customHeight="false" outlineLevel="0" collapsed="false">
      <c r="A28" s="8" t="s">
        <v>44</v>
      </c>
      <c r="B28" s="8" t="s">
        <v>45</v>
      </c>
    </row>
    <row r="29" customFormat="false" ht="15" hidden="false" customHeight="false" outlineLevel="0" collapsed="false">
      <c r="A29" s="8" t="s">
        <v>46</v>
      </c>
      <c r="B29" s="8" t="s">
        <v>47</v>
      </c>
    </row>
    <row r="30" customFormat="false" ht="26.85" hidden="false" customHeight="false" outlineLevel="0" collapsed="false">
      <c r="A30" s="8" t="s">
        <v>48</v>
      </c>
      <c r="B30" s="8" t="s">
        <v>49</v>
      </c>
    </row>
    <row r="31" customFormat="false" ht="15" hidden="false" customHeight="false" outlineLevel="0" collapsed="false">
      <c r="A31" s="8" t="s">
        <v>50</v>
      </c>
      <c r="B31" s="8" t="s">
        <v>51</v>
      </c>
    </row>
    <row r="32" customFormat="false" ht="15" hidden="false" customHeight="false" outlineLevel="0" collapsed="false">
      <c r="A32" s="8" t="s">
        <v>52</v>
      </c>
      <c r="B32" s="8" t="s">
        <v>53</v>
      </c>
    </row>
    <row r="33" customFormat="false" ht="15" hidden="false" customHeight="false" outlineLevel="0" collapsed="false">
      <c r="A33" s="8" t="s">
        <v>54</v>
      </c>
      <c r="B33" s="8" t="s">
        <v>55</v>
      </c>
    </row>
    <row r="34" customFormat="false" ht="15" hidden="false" customHeight="false" outlineLevel="0" collapsed="false">
      <c r="A34" s="8" t="s">
        <v>56</v>
      </c>
      <c r="B34" s="8" t="s">
        <v>57</v>
      </c>
    </row>
    <row r="35" customFormat="false" ht="15" hidden="false" customHeight="false" outlineLevel="0" collapsed="false">
      <c r="A35" s="8" t="s">
        <v>58</v>
      </c>
      <c r="B35" s="8" t="s">
        <v>59</v>
      </c>
    </row>
    <row r="36" customFormat="false" ht="15" hidden="false" customHeight="false" outlineLevel="0" collapsed="false">
      <c r="A36" s="8" t="s">
        <v>60</v>
      </c>
      <c r="B36" s="8" t="s">
        <v>61</v>
      </c>
    </row>
    <row r="37" customFormat="false" ht="15" hidden="false" customHeight="false" outlineLevel="0" collapsed="false">
      <c r="A37" s="2"/>
      <c r="B37" s="2"/>
    </row>
    <row r="38" customFormat="false" ht="15" hidden="false" customHeight="false" outlineLevel="0" collapsed="false">
      <c r="A38" s="4" t="s">
        <v>62</v>
      </c>
      <c r="B38" s="2"/>
    </row>
    <row r="39" customFormat="false" ht="15" hidden="false" customHeight="false" outlineLevel="0" collapsed="false">
      <c r="A39" s="9" t="s">
        <v>63</v>
      </c>
      <c r="B39" s="2" t="s">
        <v>64</v>
      </c>
    </row>
    <row r="40" customFormat="false" ht="15" hidden="false" customHeight="false" outlineLevel="0" collapsed="false">
      <c r="A40" s="10" t="s">
        <v>65</v>
      </c>
      <c r="B40" s="2" t="s">
        <v>66</v>
      </c>
    </row>
    <row r="41" customFormat="false" ht="15" hidden="false" customHeight="false" outlineLevel="0" collapsed="false">
      <c r="A41" s="11" t="s">
        <v>67</v>
      </c>
      <c r="B41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0" min="10" style="0" width="46"/>
  </cols>
  <sheetData>
    <row r="1" customFormat="false" ht="19.7" hidden="false" customHeight="false" outlineLevel="0" collapsed="false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70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</row>
    <row r="5" customFormat="false" ht="15" hidden="false" customHeight="false" outlineLevel="0" collapsed="false">
      <c r="A5" s="8" t="n">
        <v>1</v>
      </c>
      <c r="B5" s="8" t="s">
        <v>81</v>
      </c>
      <c r="C5" s="8" t="s">
        <v>82</v>
      </c>
      <c r="D5" s="8" t="s">
        <v>83</v>
      </c>
      <c r="E5" s="8" t="s">
        <v>84</v>
      </c>
      <c r="F5" s="8" t="s">
        <v>85</v>
      </c>
      <c r="G5" s="8" t="s">
        <v>86</v>
      </c>
      <c r="H5" s="8"/>
      <c r="I5" s="8" t="s">
        <v>87</v>
      </c>
      <c r="J5" s="8"/>
    </row>
    <row r="6" customFormat="false" ht="26.85" hidden="false" customHeight="false" outlineLevel="0" collapsed="false">
      <c r="A6" s="8" t="n">
        <v>2</v>
      </c>
      <c r="B6" s="8" t="s">
        <v>88</v>
      </c>
      <c r="C6" s="8" t="s">
        <v>89</v>
      </c>
      <c r="D6" s="8" t="s">
        <v>83</v>
      </c>
      <c r="E6" s="8" t="s">
        <v>90</v>
      </c>
      <c r="F6" s="8" t="s">
        <v>91</v>
      </c>
      <c r="G6" s="8" t="s">
        <v>92</v>
      </c>
      <c r="H6" s="8"/>
      <c r="I6" s="8" t="s">
        <v>87</v>
      </c>
      <c r="J6" s="8" t="s">
        <v>93</v>
      </c>
    </row>
    <row r="7" customFormat="false" ht="26.85" hidden="false" customHeight="false" outlineLevel="0" collapsed="false">
      <c r="A7" s="8" t="n">
        <v>3</v>
      </c>
      <c r="B7" s="8" t="s">
        <v>94</v>
      </c>
      <c r="C7" s="8" t="s">
        <v>82</v>
      </c>
      <c r="D7" s="8" t="s">
        <v>83</v>
      </c>
      <c r="E7" s="8" t="s">
        <v>95</v>
      </c>
      <c r="F7" s="8"/>
      <c r="G7" s="8" t="s">
        <v>96</v>
      </c>
      <c r="H7" s="8"/>
      <c r="I7" s="8" t="s">
        <v>97</v>
      </c>
      <c r="J7" s="8"/>
    </row>
    <row r="8" customFormat="false" ht="26.85" hidden="false" customHeight="false" outlineLevel="0" collapsed="false">
      <c r="A8" s="8" t="n">
        <v>4</v>
      </c>
      <c r="B8" s="8" t="s">
        <v>98</v>
      </c>
      <c r="C8" s="8" t="s">
        <v>99</v>
      </c>
      <c r="D8" s="8" t="s">
        <v>100</v>
      </c>
      <c r="E8" s="8" t="n">
        <v>42</v>
      </c>
      <c r="F8" s="8" t="s">
        <v>101</v>
      </c>
      <c r="G8" s="8" t="s">
        <v>102</v>
      </c>
      <c r="H8" s="8"/>
      <c r="I8" s="8" t="s">
        <v>97</v>
      </c>
      <c r="J8" s="8"/>
    </row>
    <row r="9" customFormat="false" ht="15" hidden="false" customHeight="false" outlineLevel="0" collapsed="false">
      <c r="A9" s="8" t="n">
        <v>5</v>
      </c>
      <c r="B9" s="8" t="s">
        <v>103</v>
      </c>
      <c r="C9" s="8" t="s">
        <v>82</v>
      </c>
      <c r="D9" s="8" t="s">
        <v>83</v>
      </c>
      <c r="E9" s="8" t="s">
        <v>104</v>
      </c>
      <c r="F9" s="8"/>
      <c r="G9" s="8" t="s">
        <v>105</v>
      </c>
      <c r="H9" s="8"/>
      <c r="I9" s="8" t="s">
        <v>106</v>
      </c>
      <c r="J9" s="8" t="s">
        <v>107</v>
      </c>
    </row>
    <row r="10" customFormat="false" ht="15" hidden="false" customHeight="false" outlineLevel="0" collapsed="false">
      <c r="A10" s="8" t="n">
        <v>6</v>
      </c>
      <c r="B10" s="8" t="s">
        <v>108</v>
      </c>
      <c r="C10" s="8" t="s">
        <v>99</v>
      </c>
      <c r="D10" s="8" t="s">
        <v>83</v>
      </c>
      <c r="E10" s="8" t="n">
        <v>1</v>
      </c>
      <c r="F10" s="8" t="s">
        <v>109</v>
      </c>
      <c r="G10" s="8" t="s">
        <v>110</v>
      </c>
      <c r="H10" s="8"/>
      <c r="I10" s="8" t="s">
        <v>106</v>
      </c>
      <c r="J10" s="8" t="s">
        <v>111</v>
      </c>
    </row>
    <row r="11" customFormat="false" ht="15" hidden="false" customHeight="false" outlineLevel="0" collapsed="false">
      <c r="A11" s="8" t="n">
        <v>7</v>
      </c>
      <c r="B11" s="8" t="s">
        <v>112</v>
      </c>
      <c r="C11" s="8" t="s">
        <v>82</v>
      </c>
      <c r="D11" s="8" t="s">
        <v>83</v>
      </c>
      <c r="E11" s="8" t="s">
        <v>113</v>
      </c>
      <c r="F11" s="8" t="s">
        <v>114</v>
      </c>
      <c r="G11" s="8" t="s">
        <v>115</v>
      </c>
      <c r="H11" s="8"/>
      <c r="I11" s="8" t="s">
        <v>87</v>
      </c>
      <c r="J11" s="8"/>
    </row>
    <row r="12" customFormat="false" ht="26.85" hidden="false" customHeight="false" outlineLevel="0" collapsed="false">
      <c r="A12" s="8" t="n">
        <v>8</v>
      </c>
      <c r="B12" s="8" t="s">
        <v>116</v>
      </c>
      <c r="C12" s="8" t="s">
        <v>82</v>
      </c>
      <c r="D12" s="8" t="s">
        <v>83</v>
      </c>
      <c r="E12" s="8" t="s">
        <v>117</v>
      </c>
      <c r="F12" s="8" t="s">
        <v>118</v>
      </c>
      <c r="G12" s="8" t="s">
        <v>119</v>
      </c>
      <c r="H12" s="8"/>
      <c r="I12" s="8" t="s">
        <v>120</v>
      </c>
      <c r="J12" s="8" t="s">
        <v>121</v>
      </c>
    </row>
    <row r="13" customFormat="false" ht="15" hidden="false" customHeight="false" outlineLevel="0" collapsed="false">
      <c r="A13" s="8" t="n">
        <v>9</v>
      </c>
      <c r="B13" s="8" t="s">
        <v>122</v>
      </c>
      <c r="C13" s="8" t="s">
        <v>89</v>
      </c>
      <c r="D13" s="8" t="s">
        <v>83</v>
      </c>
      <c r="E13" s="8" t="s">
        <v>123</v>
      </c>
      <c r="F13" s="8" t="s">
        <v>124</v>
      </c>
      <c r="G13" s="8" t="s">
        <v>125</v>
      </c>
      <c r="H13" s="8"/>
      <c r="I13" s="8" t="s">
        <v>106</v>
      </c>
      <c r="J13" s="8" t="s">
        <v>126</v>
      </c>
    </row>
    <row r="14" customFormat="false" ht="26.85" hidden="false" customHeight="false" outlineLevel="0" collapsed="false">
      <c r="A14" s="8" t="n">
        <v>10</v>
      </c>
      <c r="B14" s="8" t="s">
        <v>127</v>
      </c>
      <c r="C14" s="8" t="s">
        <v>128</v>
      </c>
      <c r="D14" s="8" t="s">
        <v>83</v>
      </c>
      <c r="E14" s="8" t="s">
        <v>129</v>
      </c>
      <c r="F14" s="8"/>
      <c r="G14" s="8" t="s">
        <v>130</v>
      </c>
      <c r="H14" s="8"/>
      <c r="I14" s="8" t="s">
        <v>131</v>
      </c>
      <c r="J14" s="8" t="s">
        <v>132</v>
      </c>
    </row>
    <row r="15" customFormat="false" ht="26.85" hidden="false" customHeight="false" outlineLevel="0" collapsed="false">
      <c r="A15" s="8" t="n">
        <v>11</v>
      </c>
      <c r="B15" s="8" t="s">
        <v>133</v>
      </c>
      <c r="C15" s="8" t="s">
        <v>134</v>
      </c>
      <c r="D15" s="8" t="s">
        <v>83</v>
      </c>
      <c r="E15" s="8" t="s">
        <v>135</v>
      </c>
      <c r="F15" s="8" t="s">
        <v>136</v>
      </c>
      <c r="G15" s="8" t="s">
        <v>137</v>
      </c>
      <c r="H15" s="8"/>
      <c r="I15" s="8" t="s">
        <v>87</v>
      </c>
      <c r="J15" s="8" t="s">
        <v>138</v>
      </c>
    </row>
    <row r="16" customFormat="false" ht="15" hidden="false" customHeight="false" outlineLevel="0" collapsed="false">
      <c r="A16" s="8" t="n">
        <v>12</v>
      </c>
      <c r="B16" s="8" t="s">
        <v>139</v>
      </c>
      <c r="C16" s="8" t="s">
        <v>82</v>
      </c>
      <c r="D16" s="8" t="s">
        <v>83</v>
      </c>
      <c r="E16" s="8" t="s">
        <v>140</v>
      </c>
      <c r="F16" s="8"/>
      <c r="G16" s="8" t="s">
        <v>141</v>
      </c>
      <c r="H16" s="8"/>
      <c r="I16" s="8" t="s">
        <v>142</v>
      </c>
      <c r="J16" s="8" t="s">
        <v>143</v>
      </c>
    </row>
    <row r="17" customFormat="false" ht="26.85" hidden="false" customHeight="false" outlineLevel="0" collapsed="false">
      <c r="A17" s="8" t="n">
        <v>13</v>
      </c>
      <c r="B17" s="8" t="s">
        <v>144</v>
      </c>
      <c r="C17" s="8" t="s">
        <v>145</v>
      </c>
      <c r="D17" s="8" t="s">
        <v>83</v>
      </c>
      <c r="E17" s="8" t="s">
        <v>146</v>
      </c>
      <c r="F17" s="8" t="s">
        <v>147</v>
      </c>
      <c r="G17" s="8" t="s">
        <v>148</v>
      </c>
      <c r="H17" s="8"/>
      <c r="I17" s="8" t="s">
        <v>120</v>
      </c>
      <c r="J17" s="8" t="s">
        <v>149</v>
      </c>
    </row>
    <row r="18" customFormat="false" ht="26.85" hidden="false" customHeight="false" outlineLevel="0" collapsed="false">
      <c r="A18" s="8" t="n">
        <v>14</v>
      </c>
      <c r="B18" s="8" t="s">
        <v>150</v>
      </c>
      <c r="C18" s="8" t="s">
        <v>82</v>
      </c>
      <c r="D18" s="8" t="s">
        <v>151</v>
      </c>
      <c r="E18" s="8" t="s">
        <v>152</v>
      </c>
      <c r="F18" s="8" t="s">
        <v>153</v>
      </c>
      <c r="G18" s="8" t="s">
        <v>154</v>
      </c>
      <c r="H18" s="8"/>
      <c r="I18" s="8" t="s">
        <v>155</v>
      </c>
      <c r="J18" s="8" t="s">
        <v>156</v>
      </c>
    </row>
    <row r="19" customFormat="false" ht="26.85" hidden="false" customHeight="false" outlineLevel="0" collapsed="false">
      <c r="A19" s="8" t="n">
        <v>15</v>
      </c>
      <c r="B19" s="8" t="s">
        <v>157</v>
      </c>
      <c r="C19" s="8" t="s">
        <v>82</v>
      </c>
      <c r="D19" s="8" t="s">
        <v>83</v>
      </c>
      <c r="E19" s="8" t="s">
        <v>158</v>
      </c>
      <c r="F19" s="8" t="s">
        <v>159</v>
      </c>
      <c r="G19" s="8" t="s">
        <v>160</v>
      </c>
      <c r="H19" s="12" t="s">
        <v>83</v>
      </c>
      <c r="I19" s="8" t="s">
        <v>161</v>
      </c>
      <c r="J19" s="8" t="s">
        <v>162</v>
      </c>
    </row>
    <row r="20" customFormat="false" ht="15" hidden="false" customHeight="false" outlineLevel="0" collapsed="false">
      <c r="A20" s="8" t="n">
        <v>16</v>
      </c>
      <c r="B20" s="8" t="s">
        <v>163</v>
      </c>
      <c r="C20" s="8" t="s">
        <v>82</v>
      </c>
      <c r="D20" s="8" t="s">
        <v>83</v>
      </c>
      <c r="E20" s="8" t="s">
        <v>164</v>
      </c>
      <c r="F20" s="8"/>
      <c r="G20" s="8" t="s">
        <v>165</v>
      </c>
      <c r="H20" s="12" t="s">
        <v>83</v>
      </c>
      <c r="I20" s="8" t="s">
        <v>166</v>
      </c>
      <c r="J20" s="8" t="s">
        <v>167</v>
      </c>
    </row>
    <row r="21" customFormat="false" ht="15" hidden="false" customHeight="false" outlineLevel="0" collapsed="false">
      <c r="A21" s="8" t="n">
        <v>17</v>
      </c>
      <c r="B21" s="8" t="s">
        <v>168</v>
      </c>
      <c r="C21" s="8" t="s">
        <v>134</v>
      </c>
      <c r="D21" s="8" t="s">
        <v>83</v>
      </c>
      <c r="E21" s="8" t="s">
        <v>169</v>
      </c>
      <c r="F21" s="8"/>
      <c r="G21" s="8" t="s">
        <v>170</v>
      </c>
      <c r="H21" s="8"/>
      <c r="I21" s="8" t="s">
        <v>97</v>
      </c>
      <c r="J21" s="8"/>
    </row>
    <row r="22" customFormat="false" ht="15" hidden="false" customHeight="false" outlineLevel="0" collapsed="false">
      <c r="A22" s="8" t="n">
        <v>18</v>
      </c>
      <c r="B22" s="8" t="s">
        <v>171</v>
      </c>
      <c r="C22" s="8" t="s">
        <v>82</v>
      </c>
      <c r="D22" s="8" t="s">
        <v>83</v>
      </c>
      <c r="E22" s="8" t="s">
        <v>172</v>
      </c>
      <c r="F22" s="8"/>
      <c r="G22" s="8" t="s">
        <v>173</v>
      </c>
      <c r="H22" s="8"/>
      <c r="I22" s="8" t="s">
        <v>142</v>
      </c>
      <c r="J22" s="8"/>
    </row>
    <row r="23" customFormat="false" ht="15" hidden="false" customHeight="false" outlineLevel="0" collapsed="false">
      <c r="A23" s="8" t="n">
        <v>19</v>
      </c>
      <c r="B23" s="8" t="s">
        <v>174</v>
      </c>
      <c r="C23" s="8" t="s">
        <v>89</v>
      </c>
      <c r="D23" s="8" t="s">
        <v>83</v>
      </c>
      <c r="E23" s="8" t="s">
        <v>175</v>
      </c>
      <c r="F23" s="8" t="s">
        <v>176</v>
      </c>
      <c r="G23" s="8" t="s">
        <v>177</v>
      </c>
      <c r="H23" s="8"/>
      <c r="I23" s="8" t="s">
        <v>97</v>
      </c>
      <c r="J23" s="8"/>
    </row>
    <row r="24" customFormat="false" ht="26.85" hidden="false" customHeight="false" outlineLevel="0" collapsed="false">
      <c r="A24" s="8" t="n">
        <v>20</v>
      </c>
      <c r="B24" s="8" t="s">
        <v>12</v>
      </c>
      <c r="C24" s="8" t="s">
        <v>89</v>
      </c>
      <c r="D24" s="8" t="s">
        <v>83</v>
      </c>
      <c r="E24" s="8" t="s">
        <v>178</v>
      </c>
      <c r="F24" s="8" t="s">
        <v>179</v>
      </c>
      <c r="G24" s="8" t="s">
        <v>180</v>
      </c>
      <c r="H24" s="12" t="s">
        <v>83</v>
      </c>
      <c r="I24" s="8" t="s">
        <v>181</v>
      </c>
      <c r="J24" s="8" t="s">
        <v>182</v>
      </c>
    </row>
    <row r="25" customFormat="false" ht="26.85" hidden="false" customHeight="false" outlineLevel="0" collapsed="false">
      <c r="A25" s="8" t="n">
        <v>21</v>
      </c>
      <c r="B25" s="8" t="s">
        <v>183</v>
      </c>
      <c r="C25" s="8" t="s">
        <v>184</v>
      </c>
      <c r="D25" s="8" t="s">
        <v>83</v>
      </c>
      <c r="E25" s="8" t="n">
        <v>32</v>
      </c>
      <c r="F25" s="8" t="s">
        <v>185</v>
      </c>
      <c r="G25" s="8" t="s">
        <v>186</v>
      </c>
      <c r="H25" s="12" t="s">
        <v>83</v>
      </c>
      <c r="I25" s="8" t="s">
        <v>187</v>
      </c>
      <c r="J25" s="8"/>
    </row>
    <row r="26" customFormat="false" ht="15" hidden="false" customHeight="false" outlineLevel="0" collapsed="false">
      <c r="A26" s="8" t="n">
        <v>22</v>
      </c>
      <c r="B26" s="8" t="s">
        <v>188</v>
      </c>
      <c r="C26" s="8" t="s">
        <v>184</v>
      </c>
      <c r="D26" s="8" t="s">
        <v>83</v>
      </c>
      <c r="E26" s="8" t="n">
        <v>25</v>
      </c>
      <c r="F26" s="8"/>
      <c r="G26" s="8" t="s">
        <v>189</v>
      </c>
      <c r="H26" s="12" t="s">
        <v>83</v>
      </c>
      <c r="I26" s="8" t="s">
        <v>97</v>
      </c>
      <c r="J26" s="8"/>
    </row>
    <row r="27" customFormat="false" ht="15" hidden="false" customHeight="false" outlineLevel="0" collapsed="false">
      <c r="A27" s="8" t="n">
        <v>23</v>
      </c>
      <c r="B27" s="8" t="s">
        <v>190</v>
      </c>
      <c r="C27" s="8" t="s">
        <v>99</v>
      </c>
      <c r="D27" s="8" t="s">
        <v>83</v>
      </c>
      <c r="E27" s="8" t="n">
        <v>7</v>
      </c>
      <c r="F27" s="8" t="s">
        <v>191</v>
      </c>
      <c r="G27" s="8" t="s">
        <v>192</v>
      </c>
      <c r="H27" s="12" t="s">
        <v>83</v>
      </c>
      <c r="I27" s="8" t="s">
        <v>97</v>
      </c>
      <c r="J27" s="8"/>
    </row>
    <row r="28" customFormat="false" ht="15" hidden="false" customHeight="false" outlineLevel="0" collapsed="false">
      <c r="A28" s="8" t="n">
        <v>24</v>
      </c>
      <c r="B28" s="8" t="s">
        <v>193</v>
      </c>
      <c r="C28" s="8" t="s">
        <v>99</v>
      </c>
      <c r="D28" s="8" t="s">
        <v>83</v>
      </c>
      <c r="E28" s="8" t="n">
        <v>1</v>
      </c>
      <c r="F28" s="8" t="s">
        <v>194</v>
      </c>
      <c r="G28" s="8" t="s">
        <v>195</v>
      </c>
      <c r="H28" s="12" t="s">
        <v>83</v>
      </c>
      <c r="I28" s="8" t="s">
        <v>196</v>
      </c>
      <c r="J28" s="8" t="s">
        <v>197</v>
      </c>
    </row>
    <row r="29" customFormat="false" ht="15" hidden="false" customHeight="false" outlineLevel="0" collapsed="false">
      <c r="A29" s="8" t="n">
        <v>25</v>
      </c>
      <c r="B29" s="8" t="s">
        <v>198</v>
      </c>
      <c r="C29" s="8" t="s">
        <v>99</v>
      </c>
      <c r="D29" s="8" t="s">
        <v>83</v>
      </c>
      <c r="E29" s="8" t="n">
        <v>0</v>
      </c>
      <c r="F29" s="8" t="s">
        <v>194</v>
      </c>
      <c r="G29" s="8" t="s">
        <v>199</v>
      </c>
      <c r="H29" s="8"/>
      <c r="I29" s="8" t="s">
        <v>106</v>
      </c>
      <c r="J29" s="8" t="s">
        <v>200</v>
      </c>
    </row>
    <row r="30" customFormat="false" ht="26.85" hidden="false" customHeight="false" outlineLevel="0" collapsed="false">
      <c r="A30" s="8" t="n">
        <v>26</v>
      </c>
      <c r="B30" s="8" t="s">
        <v>201</v>
      </c>
      <c r="C30" s="8" t="s">
        <v>99</v>
      </c>
      <c r="D30" s="8" t="s">
        <v>83</v>
      </c>
      <c r="E30" s="8" t="n">
        <v>1</v>
      </c>
      <c r="F30" s="8" t="s">
        <v>202</v>
      </c>
      <c r="G30" s="8" t="s">
        <v>203</v>
      </c>
      <c r="H30" s="12" t="s">
        <v>83</v>
      </c>
      <c r="I30" s="8" t="s">
        <v>204</v>
      </c>
      <c r="J30" s="8" t="s">
        <v>205</v>
      </c>
    </row>
    <row r="31" customFormat="false" ht="26.85" hidden="false" customHeight="false" outlineLevel="0" collapsed="false">
      <c r="A31" s="8" t="n">
        <v>27</v>
      </c>
      <c r="B31" s="8" t="s">
        <v>206</v>
      </c>
      <c r="C31" s="8" t="s">
        <v>99</v>
      </c>
      <c r="D31" s="8" t="s">
        <v>83</v>
      </c>
      <c r="E31" s="8" t="n">
        <v>2</v>
      </c>
      <c r="F31" s="8" t="s">
        <v>207</v>
      </c>
      <c r="G31" s="8" t="s">
        <v>208</v>
      </c>
      <c r="H31" s="8"/>
      <c r="I31" s="8" t="s">
        <v>209</v>
      </c>
      <c r="J31" s="8" t="s">
        <v>210</v>
      </c>
    </row>
    <row r="32" customFormat="false" ht="15" hidden="false" customHeight="false" outlineLevel="0" collapsed="false">
      <c r="A32" s="8" t="n">
        <v>28</v>
      </c>
      <c r="B32" s="8" t="s">
        <v>211</v>
      </c>
      <c r="C32" s="8" t="s">
        <v>212</v>
      </c>
      <c r="D32" s="8" t="s">
        <v>100</v>
      </c>
      <c r="E32" s="8" t="n">
        <v>83.18</v>
      </c>
      <c r="F32" s="8" t="s">
        <v>101</v>
      </c>
      <c r="G32" s="8" t="s">
        <v>213</v>
      </c>
      <c r="H32" s="8"/>
      <c r="I32" s="8" t="s">
        <v>214</v>
      </c>
      <c r="J32" s="8" t="s">
        <v>38</v>
      </c>
    </row>
    <row r="33" customFormat="false" ht="15" hidden="false" customHeight="false" outlineLevel="0" collapsed="false">
      <c r="A33" s="8" t="n">
        <v>29</v>
      </c>
      <c r="B33" s="8" t="s">
        <v>215</v>
      </c>
      <c r="C33" s="8" t="s">
        <v>212</v>
      </c>
      <c r="D33" s="8" t="s">
        <v>100</v>
      </c>
      <c r="E33" s="8" t="n">
        <v>70.69</v>
      </c>
      <c r="F33" s="8" t="s">
        <v>101</v>
      </c>
      <c r="G33" s="8" t="s">
        <v>216</v>
      </c>
      <c r="H33" s="8"/>
      <c r="I33" s="8" t="s">
        <v>214</v>
      </c>
      <c r="J33" s="8" t="s">
        <v>38</v>
      </c>
    </row>
    <row r="34" customFormat="false" ht="15" hidden="false" customHeight="false" outlineLevel="0" collapsed="false">
      <c r="A34" s="8" t="n">
        <v>30</v>
      </c>
      <c r="B34" s="8" t="s">
        <v>217</v>
      </c>
      <c r="C34" s="8" t="s">
        <v>218</v>
      </c>
      <c r="D34" s="8" t="s">
        <v>100</v>
      </c>
      <c r="E34" s="8" t="n">
        <v>0.7612</v>
      </c>
      <c r="F34" s="8" t="s">
        <v>219</v>
      </c>
      <c r="G34" s="8" t="s">
        <v>220</v>
      </c>
      <c r="H34" s="8"/>
      <c r="I34" s="8" t="s">
        <v>214</v>
      </c>
      <c r="J34" s="8" t="s">
        <v>46</v>
      </c>
    </row>
  </sheetData>
  <dataValidations count="1">
    <dataValidation allowBlank="true" errorStyle="stop" operator="between" showDropDown="false" showErrorMessage="false" showInputMessage="false" sqref="D5:D34" type="list">
      <formula1>"Yes,Sim only,If player team"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0" min="10" style="0" width="40"/>
  </cols>
  <sheetData>
    <row r="1" customFormat="false" ht="19.7" hidden="false" customHeight="false" outlineLevel="0" collapsed="false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222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</row>
    <row r="5" customFormat="false" ht="15" hidden="false" customHeight="false" outlineLevel="0" collapsed="false">
      <c r="A5" s="8" t="n">
        <v>1</v>
      </c>
      <c r="B5" s="8" t="s">
        <v>81</v>
      </c>
      <c r="C5" s="8" t="s">
        <v>82</v>
      </c>
      <c r="D5" s="8" t="s">
        <v>83</v>
      </c>
      <c r="E5" s="8" t="s">
        <v>84</v>
      </c>
      <c r="F5" s="8"/>
      <c r="G5" s="8" t="s">
        <v>223</v>
      </c>
      <c r="H5" s="8"/>
      <c r="I5" s="8" t="s">
        <v>87</v>
      </c>
      <c r="J5" s="8"/>
    </row>
    <row r="6" customFormat="false" ht="15" hidden="false" customHeight="false" outlineLevel="0" collapsed="false">
      <c r="A6" s="8" t="n">
        <v>2</v>
      </c>
      <c r="B6" s="8" t="s">
        <v>88</v>
      </c>
      <c r="C6" s="8" t="s">
        <v>89</v>
      </c>
      <c r="D6" s="8" t="s">
        <v>83</v>
      </c>
      <c r="E6" s="8" t="s">
        <v>90</v>
      </c>
      <c r="F6" s="8" t="s">
        <v>91</v>
      </c>
      <c r="G6" s="8" t="s">
        <v>224</v>
      </c>
      <c r="H6" s="8"/>
      <c r="I6" s="8" t="s">
        <v>87</v>
      </c>
      <c r="J6" s="8"/>
    </row>
    <row r="7" customFormat="false" ht="15" hidden="false" customHeight="false" outlineLevel="0" collapsed="false">
      <c r="A7" s="8" t="n">
        <v>3</v>
      </c>
      <c r="B7" s="8" t="s">
        <v>94</v>
      </c>
      <c r="C7" s="8" t="s">
        <v>82</v>
      </c>
      <c r="D7" s="8" t="s">
        <v>83</v>
      </c>
      <c r="E7" s="8" t="s">
        <v>95</v>
      </c>
      <c r="F7" s="8"/>
      <c r="G7" s="8" t="s">
        <v>225</v>
      </c>
      <c r="H7" s="8"/>
      <c r="I7" s="8" t="s">
        <v>97</v>
      </c>
      <c r="J7" s="8"/>
    </row>
    <row r="8" customFormat="false" ht="15" hidden="false" customHeight="false" outlineLevel="0" collapsed="false">
      <c r="A8" s="8" t="n">
        <v>4</v>
      </c>
      <c r="B8" s="8" t="s">
        <v>103</v>
      </c>
      <c r="C8" s="8" t="s">
        <v>82</v>
      </c>
      <c r="D8" s="8" t="s">
        <v>83</v>
      </c>
      <c r="E8" s="8" t="s">
        <v>104</v>
      </c>
      <c r="F8" s="8"/>
      <c r="G8" s="8" t="s">
        <v>226</v>
      </c>
      <c r="H8" s="8"/>
      <c r="I8" s="8" t="s">
        <v>106</v>
      </c>
      <c r="J8" s="8"/>
    </row>
    <row r="9" customFormat="false" ht="15" hidden="false" customHeight="false" outlineLevel="0" collapsed="false">
      <c r="A9" s="8" t="n">
        <v>5</v>
      </c>
      <c r="B9" s="8" t="s">
        <v>133</v>
      </c>
      <c r="C9" s="8" t="s">
        <v>134</v>
      </c>
      <c r="D9" s="8" t="s">
        <v>83</v>
      </c>
      <c r="E9" s="8"/>
      <c r="F9" s="8"/>
      <c r="G9" s="8" t="s">
        <v>227</v>
      </c>
      <c r="H9" s="8"/>
      <c r="I9" s="8" t="s">
        <v>87</v>
      </c>
      <c r="J9" s="8"/>
    </row>
    <row r="10" customFormat="false" ht="15" hidden="false" customHeight="false" outlineLevel="0" collapsed="false">
      <c r="A10" s="8" t="n">
        <v>6</v>
      </c>
      <c r="B10" s="8" t="s">
        <v>139</v>
      </c>
      <c r="C10" s="8" t="s">
        <v>82</v>
      </c>
      <c r="D10" s="8" t="s">
        <v>83</v>
      </c>
      <c r="E10" s="8"/>
      <c r="F10" s="8"/>
      <c r="G10" s="8" t="s">
        <v>141</v>
      </c>
      <c r="H10" s="8"/>
      <c r="I10" s="8" t="s">
        <v>228</v>
      </c>
      <c r="J10" s="8"/>
    </row>
    <row r="11" customFormat="false" ht="15" hidden="false" customHeight="false" outlineLevel="0" collapsed="false">
      <c r="A11" s="8" t="n">
        <v>7</v>
      </c>
      <c r="B11" s="8" t="s">
        <v>144</v>
      </c>
      <c r="C11" s="8" t="s">
        <v>145</v>
      </c>
      <c r="D11" s="8" t="s">
        <v>83</v>
      </c>
      <c r="E11" s="8" t="s">
        <v>229</v>
      </c>
      <c r="F11" s="8" t="s">
        <v>230</v>
      </c>
      <c r="G11" s="8" t="s">
        <v>231</v>
      </c>
      <c r="H11" s="8"/>
      <c r="I11" s="8" t="s">
        <v>155</v>
      </c>
      <c r="J11" s="8" t="s">
        <v>232</v>
      </c>
    </row>
    <row r="12" customFormat="false" ht="26.85" hidden="false" customHeight="false" outlineLevel="0" collapsed="false">
      <c r="A12" s="8" t="n">
        <v>8</v>
      </c>
      <c r="B12" s="8" t="s">
        <v>150</v>
      </c>
      <c r="C12" s="8" t="s">
        <v>82</v>
      </c>
      <c r="D12" s="8" t="s">
        <v>151</v>
      </c>
      <c r="E12" s="8" t="s">
        <v>152</v>
      </c>
      <c r="F12" s="8"/>
      <c r="G12" s="8" t="s">
        <v>233</v>
      </c>
      <c r="H12" s="8"/>
      <c r="I12" s="8" t="s">
        <v>155</v>
      </c>
      <c r="J12" s="8"/>
    </row>
    <row r="13" customFormat="false" ht="15" hidden="false" customHeight="false" outlineLevel="0" collapsed="false">
      <c r="A13" s="8" t="n">
        <v>9</v>
      </c>
      <c r="B13" s="8" t="s">
        <v>157</v>
      </c>
      <c r="C13" s="8" t="s">
        <v>82</v>
      </c>
      <c r="D13" s="8" t="s">
        <v>83</v>
      </c>
      <c r="E13" s="8" t="s">
        <v>158</v>
      </c>
      <c r="F13" s="8"/>
      <c r="G13" s="8" t="s">
        <v>234</v>
      </c>
      <c r="H13" s="8" t="s">
        <v>83</v>
      </c>
      <c r="I13" s="8" t="s">
        <v>235</v>
      </c>
      <c r="J13" s="8"/>
    </row>
    <row r="14" customFormat="false" ht="15" hidden="false" customHeight="false" outlineLevel="0" collapsed="false">
      <c r="A14" s="8" t="n">
        <v>10</v>
      </c>
      <c r="B14" s="8" t="s">
        <v>163</v>
      </c>
      <c r="C14" s="8" t="s">
        <v>82</v>
      </c>
      <c r="D14" s="8" t="s">
        <v>83</v>
      </c>
      <c r="E14" s="8" t="s">
        <v>236</v>
      </c>
      <c r="F14" s="8"/>
      <c r="G14" s="8" t="s">
        <v>237</v>
      </c>
      <c r="H14" s="8" t="s">
        <v>83</v>
      </c>
      <c r="I14" s="8" t="s">
        <v>238</v>
      </c>
      <c r="J14" s="8"/>
    </row>
    <row r="15" customFormat="false" ht="15" hidden="false" customHeight="false" outlineLevel="0" collapsed="false">
      <c r="A15" s="8" t="n">
        <v>11</v>
      </c>
      <c r="B15" s="8" t="s">
        <v>239</v>
      </c>
      <c r="C15" s="8" t="s">
        <v>99</v>
      </c>
      <c r="D15" s="8" t="s">
        <v>83</v>
      </c>
      <c r="E15" s="8" t="n">
        <v>10</v>
      </c>
      <c r="F15" s="8" t="s">
        <v>240</v>
      </c>
      <c r="G15" s="8" t="s">
        <v>241</v>
      </c>
      <c r="H15" s="8"/>
      <c r="I15" s="8" t="s">
        <v>50</v>
      </c>
      <c r="J15" s="8"/>
    </row>
    <row r="16" customFormat="false" ht="15" hidden="false" customHeight="false" outlineLevel="0" collapsed="false">
      <c r="A16" s="8" t="n">
        <v>12</v>
      </c>
      <c r="B16" s="8" t="s">
        <v>242</v>
      </c>
      <c r="C16" s="8" t="s">
        <v>99</v>
      </c>
      <c r="D16" s="8" t="s">
        <v>83</v>
      </c>
      <c r="E16" s="8" t="n">
        <v>6</v>
      </c>
      <c r="F16" s="8" t="s">
        <v>243</v>
      </c>
      <c r="G16" s="8" t="s">
        <v>244</v>
      </c>
      <c r="H16" s="8" t="s">
        <v>83</v>
      </c>
      <c r="I16" s="8" t="s">
        <v>245</v>
      </c>
      <c r="J16" s="8"/>
    </row>
    <row r="17" customFormat="false" ht="15" hidden="false" customHeight="false" outlineLevel="0" collapsed="false">
      <c r="A17" s="8" t="n">
        <v>13</v>
      </c>
      <c r="B17" s="8" t="s">
        <v>246</v>
      </c>
      <c r="C17" s="8" t="s">
        <v>99</v>
      </c>
      <c r="D17" s="8" t="s">
        <v>83</v>
      </c>
      <c r="E17" s="8" t="n">
        <v>4</v>
      </c>
      <c r="F17" s="8"/>
      <c r="G17" s="8" t="s">
        <v>247</v>
      </c>
      <c r="H17" s="8"/>
      <c r="I17" s="8"/>
      <c r="J17" s="8"/>
    </row>
    <row r="18" customFormat="false" ht="15" hidden="false" customHeight="false" outlineLevel="0" collapsed="false">
      <c r="A18" s="8" t="n">
        <v>14</v>
      </c>
      <c r="B18" s="8" t="s">
        <v>248</v>
      </c>
      <c r="C18" s="8" t="s">
        <v>99</v>
      </c>
      <c r="D18" s="8" t="s">
        <v>83</v>
      </c>
      <c r="E18" s="8" t="n">
        <v>12</v>
      </c>
      <c r="F18" s="8" t="s">
        <v>249</v>
      </c>
      <c r="G18" s="8" t="s">
        <v>250</v>
      </c>
      <c r="H18" s="8"/>
      <c r="I18" s="8" t="s">
        <v>106</v>
      </c>
      <c r="J18" s="8" t="s">
        <v>251</v>
      </c>
    </row>
    <row r="19" customFormat="false" ht="15" hidden="false" customHeight="false" outlineLevel="0" collapsed="false">
      <c r="A19" s="8" t="n">
        <v>15</v>
      </c>
      <c r="B19" s="8" t="s">
        <v>183</v>
      </c>
      <c r="C19" s="8" t="s">
        <v>99</v>
      </c>
      <c r="D19" s="8" t="s">
        <v>83</v>
      </c>
      <c r="E19" s="8" t="n">
        <v>250</v>
      </c>
      <c r="F19" s="8"/>
      <c r="G19" s="8" t="s">
        <v>252</v>
      </c>
      <c r="H19" s="8" t="s">
        <v>83</v>
      </c>
      <c r="I19" s="8" t="s">
        <v>253</v>
      </c>
      <c r="J19" s="8"/>
    </row>
    <row r="20" customFormat="false" ht="15" hidden="false" customHeight="false" outlineLevel="0" collapsed="false">
      <c r="A20" s="8" t="n">
        <v>16</v>
      </c>
      <c r="B20" s="8" t="s">
        <v>188</v>
      </c>
      <c r="C20" s="8" t="s">
        <v>99</v>
      </c>
      <c r="D20" s="8" t="s">
        <v>83</v>
      </c>
      <c r="E20" s="8" t="n">
        <v>230</v>
      </c>
      <c r="F20" s="8"/>
      <c r="G20" s="8" t="s">
        <v>254</v>
      </c>
      <c r="H20" s="8" t="s">
        <v>83</v>
      </c>
      <c r="I20" s="8" t="s">
        <v>253</v>
      </c>
      <c r="J20" s="8"/>
    </row>
    <row r="21" customFormat="false" ht="15" hidden="false" customHeight="false" outlineLevel="0" collapsed="false">
      <c r="A21" s="8" t="n">
        <v>17</v>
      </c>
      <c r="B21" s="8" t="s">
        <v>255</v>
      </c>
      <c r="C21" s="8" t="s">
        <v>99</v>
      </c>
      <c r="D21" s="8" t="s">
        <v>83</v>
      </c>
      <c r="E21" s="8" t="n">
        <v>20</v>
      </c>
      <c r="F21" s="8" t="s">
        <v>191</v>
      </c>
      <c r="G21" s="8" t="s">
        <v>256</v>
      </c>
      <c r="H21" s="8"/>
      <c r="I21" s="8" t="s">
        <v>257</v>
      </c>
      <c r="J21" s="8"/>
    </row>
    <row r="22" customFormat="false" ht="15" hidden="false" customHeight="false" outlineLevel="0" collapsed="false">
      <c r="A22" s="8" t="n">
        <v>18</v>
      </c>
      <c r="B22" s="8" t="s">
        <v>258</v>
      </c>
      <c r="C22" s="8" t="s">
        <v>99</v>
      </c>
      <c r="D22" s="8" t="s">
        <v>83</v>
      </c>
      <c r="E22" s="8" t="n">
        <v>3</v>
      </c>
      <c r="F22" s="8" t="s">
        <v>259</v>
      </c>
      <c r="G22" s="8" t="s">
        <v>260</v>
      </c>
      <c r="H22" s="8" t="s">
        <v>83</v>
      </c>
      <c r="I22" s="8" t="s">
        <v>261</v>
      </c>
      <c r="J22" s="8"/>
    </row>
    <row r="23" customFormat="false" ht="39.55" hidden="false" customHeight="false" outlineLevel="0" collapsed="false">
      <c r="A23" s="8" t="n">
        <v>19</v>
      </c>
      <c r="B23" s="8" t="s">
        <v>262</v>
      </c>
      <c r="C23" s="8" t="s">
        <v>99</v>
      </c>
      <c r="D23" s="8" t="s">
        <v>83</v>
      </c>
      <c r="E23" s="8" t="n">
        <v>2</v>
      </c>
      <c r="F23" s="8" t="s">
        <v>263</v>
      </c>
      <c r="G23" s="8" t="s">
        <v>264</v>
      </c>
      <c r="H23" s="8"/>
      <c r="I23" s="8" t="s">
        <v>265</v>
      </c>
      <c r="J23" s="8" t="s">
        <v>266</v>
      </c>
    </row>
    <row r="24" customFormat="false" ht="15" hidden="false" customHeight="false" outlineLevel="0" collapsed="false">
      <c r="A24" s="8" t="n">
        <v>20</v>
      </c>
      <c r="B24" s="8" t="s">
        <v>211</v>
      </c>
      <c r="C24" s="8" t="s">
        <v>212</v>
      </c>
      <c r="D24" s="8" t="s">
        <v>100</v>
      </c>
      <c r="E24" s="8" t="n">
        <v>70.69</v>
      </c>
      <c r="F24" s="8" t="s">
        <v>101</v>
      </c>
      <c r="G24" s="8" t="s">
        <v>267</v>
      </c>
      <c r="H24" s="8"/>
      <c r="I24" s="8" t="s">
        <v>97</v>
      </c>
      <c r="J2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268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269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71</v>
      </c>
      <c r="B4" s="7" t="s">
        <v>72</v>
      </c>
      <c r="C4" s="7" t="s">
        <v>73</v>
      </c>
      <c r="D4" s="7" t="s">
        <v>270</v>
      </c>
      <c r="E4" s="7" t="s">
        <v>271</v>
      </c>
      <c r="F4" s="7" t="s">
        <v>77</v>
      </c>
    </row>
    <row r="5" customFormat="false" ht="15" hidden="false" customHeight="false" outlineLevel="0" collapsed="false">
      <c r="A5" s="8" t="n">
        <v>1</v>
      </c>
      <c r="B5" s="8" t="s">
        <v>133</v>
      </c>
      <c r="C5" s="8" t="s">
        <v>134</v>
      </c>
      <c r="D5" s="8"/>
      <c r="E5" s="8" t="s">
        <v>272</v>
      </c>
      <c r="F5" s="8" t="s">
        <v>273</v>
      </c>
    </row>
    <row r="6" customFormat="false" ht="15" hidden="false" customHeight="false" outlineLevel="0" collapsed="false">
      <c r="A6" s="8" t="n">
        <v>2</v>
      </c>
      <c r="B6" s="8" t="s">
        <v>139</v>
      </c>
      <c r="C6" s="8" t="s">
        <v>82</v>
      </c>
      <c r="D6" s="8"/>
      <c r="E6" s="8" t="s">
        <v>143</v>
      </c>
      <c r="F6" s="8"/>
    </row>
    <row r="7" customFormat="false" ht="15" hidden="false" customHeight="false" outlineLevel="0" collapsed="false">
      <c r="A7" s="8" t="n">
        <v>3</v>
      </c>
      <c r="B7" s="8" t="s">
        <v>157</v>
      </c>
      <c r="C7" s="8" t="s">
        <v>82</v>
      </c>
      <c r="D7" s="8"/>
      <c r="E7" s="8" t="s">
        <v>162</v>
      </c>
      <c r="F7" s="8"/>
    </row>
    <row r="8" customFormat="false" ht="15" hidden="false" customHeight="false" outlineLevel="0" collapsed="false">
      <c r="A8" s="8" t="n">
        <v>4</v>
      </c>
      <c r="B8" s="8" t="s">
        <v>163</v>
      </c>
      <c r="C8" s="8" t="s">
        <v>82</v>
      </c>
      <c r="D8" s="8"/>
      <c r="E8" s="8" t="s">
        <v>274</v>
      </c>
      <c r="F8" s="8"/>
    </row>
    <row r="9" customFormat="false" ht="15" hidden="false" customHeight="false" outlineLevel="0" collapsed="false">
      <c r="A9" s="8" t="n">
        <v>5</v>
      </c>
      <c r="B9" s="8" t="s">
        <v>275</v>
      </c>
      <c r="C9" s="8" t="s">
        <v>212</v>
      </c>
      <c r="D9" s="8" t="s">
        <v>276</v>
      </c>
      <c r="E9" s="8" t="s">
        <v>277</v>
      </c>
      <c r="F9" s="8" t="s">
        <v>278</v>
      </c>
    </row>
    <row r="10" customFormat="false" ht="15" hidden="false" customHeight="false" outlineLevel="0" collapsed="false">
      <c r="A10" s="8" t="n">
        <v>6</v>
      </c>
      <c r="B10" s="8" t="s">
        <v>279</v>
      </c>
      <c r="C10" s="8" t="s">
        <v>212</v>
      </c>
      <c r="D10" s="8" t="s">
        <v>276</v>
      </c>
      <c r="E10" s="8" t="s">
        <v>280</v>
      </c>
      <c r="F10" s="8" t="s">
        <v>281</v>
      </c>
    </row>
    <row r="11" customFormat="false" ht="15" hidden="false" customHeight="false" outlineLevel="0" collapsed="false">
      <c r="A11" s="8" t="n">
        <v>7</v>
      </c>
      <c r="B11" s="8" t="s">
        <v>282</v>
      </c>
      <c r="C11" s="8" t="s">
        <v>212</v>
      </c>
      <c r="D11" s="8" t="s">
        <v>276</v>
      </c>
      <c r="E11" s="8" t="s">
        <v>283</v>
      </c>
      <c r="F11" s="8" t="s">
        <v>284</v>
      </c>
    </row>
    <row r="12" customFormat="false" ht="15" hidden="false" customHeight="false" outlineLevel="0" collapsed="false">
      <c r="A12" s="8" t="n">
        <v>8</v>
      </c>
      <c r="B12" s="8" t="s">
        <v>285</v>
      </c>
      <c r="C12" s="8" t="s">
        <v>212</v>
      </c>
      <c r="D12" s="8" t="s">
        <v>286</v>
      </c>
      <c r="E12" s="8" t="s">
        <v>287</v>
      </c>
      <c r="F12" s="8" t="s">
        <v>288</v>
      </c>
    </row>
    <row r="13" customFormat="false" ht="15" hidden="false" customHeight="false" outlineLevel="0" collapsed="false">
      <c r="A13" s="8" t="n">
        <v>9</v>
      </c>
      <c r="B13" s="8" t="s">
        <v>289</v>
      </c>
      <c r="C13" s="8" t="s">
        <v>212</v>
      </c>
      <c r="D13" s="8" t="s">
        <v>286</v>
      </c>
      <c r="E13" s="8" t="s">
        <v>290</v>
      </c>
      <c r="F13" s="8" t="s">
        <v>291</v>
      </c>
    </row>
    <row r="14" customFormat="false" ht="26.85" hidden="false" customHeight="false" outlineLevel="0" collapsed="false">
      <c r="A14" s="8" t="n">
        <v>10</v>
      </c>
      <c r="B14" s="8" t="s">
        <v>292</v>
      </c>
      <c r="C14" s="8" t="s">
        <v>212</v>
      </c>
      <c r="D14" s="8" t="s">
        <v>286</v>
      </c>
      <c r="E14" s="8" t="s">
        <v>293</v>
      </c>
      <c r="F14" s="8" t="s">
        <v>294</v>
      </c>
    </row>
    <row r="15" customFormat="false" ht="15" hidden="false" customHeight="false" outlineLevel="0" collapsed="false">
      <c r="A15" s="8" t="n">
        <v>11</v>
      </c>
      <c r="B15" s="8" t="s">
        <v>144</v>
      </c>
      <c r="C15" s="8" t="s">
        <v>145</v>
      </c>
      <c r="D15" s="8"/>
      <c r="E15" s="8" t="s">
        <v>295</v>
      </c>
      <c r="F15" s="8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296</v>
      </c>
      <c r="B1" s="2"/>
      <c r="C1" s="2"/>
      <c r="D1" s="2"/>
    </row>
    <row r="2" customFormat="false" ht="15" hidden="false" customHeight="false" outlineLevel="0" collapsed="false">
      <c r="A2" s="3" t="s">
        <v>297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7" t="s">
        <v>298</v>
      </c>
      <c r="B4" s="7" t="s">
        <v>299</v>
      </c>
      <c r="C4" s="7" t="s">
        <v>300</v>
      </c>
      <c r="D4" s="7" t="s">
        <v>301</v>
      </c>
    </row>
    <row r="5" customFormat="false" ht="15" hidden="false" customHeight="false" outlineLevel="0" collapsed="false">
      <c r="A5" s="13" t="s">
        <v>302</v>
      </c>
      <c r="B5" s="14" t="n">
        <v>10</v>
      </c>
      <c r="C5" s="13" t="s">
        <v>303</v>
      </c>
      <c r="D5" s="13" t="s">
        <v>304</v>
      </c>
    </row>
    <row r="6" customFormat="false" ht="15" hidden="false" customHeight="false" outlineLevel="0" collapsed="false">
      <c r="A6" s="13" t="s">
        <v>305</v>
      </c>
      <c r="B6" s="14" t="n">
        <v>2</v>
      </c>
      <c r="C6" s="13" t="s">
        <v>306</v>
      </c>
      <c r="D6" s="13" t="s">
        <v>307</v>
      </c>
    </row>
    <row r="7" customFormat="false" ht="15" hidden="false" customHeight="false" outlineLevel="0" collapsed="false">
      <c r="A7" s="13" t="s">
        <v>308</v>
      </c>
      <c r="B7" s="14" t="n">
        <v>12</v>
      </c>
      <c r="C7" s="13" t="s">
        <v>309</v>
      </c>
      <c r="D7" s="13" t="s">
        <v>310</v>
      </c>
    </row>
    <row r="8" customFormat="false" ht="15" hidden="false" customHeight="false" outlineLevel="0" collapsed="false">
      <c r="A8" s="13" t="s">
        <v>311</v>
      </c>
      <c r="B8" s="14" t="n">
        <v>0.45</v>
      </c>
      <c r="C8" s="13" t="s">
        <v>312</v>
      </c>
      <c r="D8" s="13" t="s">
        <v>313</v>
      </c>
    </row>
    <row r="9" customFormat="false" ht="15" hidden="false" customHeight="false" outlineLevel="0" collapsed="false">
      <c r="A9" s="13" t="s">
        <v>314</v>
      </c>
      <c r="B9" s="14" t="n">
        <v>0.4</v>
      </c>
      <c r="C9" s="13" t="s">
        <v>312</v>
      </c>
      <c r="D9" s="13"/>
    </row>
    <row r="10" customFormat="false" ht="15" hidden="false" customHeight="false" outlineLevel="0" collapsed="false">
      <c r="A10" s="13" t="s">
        <v>315</v>
      </c>
      <c r="B10" s="14" t="n">
        <v>0.15</v>
      </c>
      <c r="C10" s="13" t="s">
        <v>312</v>
      </c>
      <c r="D10" s="13"/>
    </row>
    <row r="11" customFormat="false" ht="15" hidden="false" customHeight="false" outlineLevel="0" collapsed="false">
      <c r="A11" s="13" t="s">
        <v>316</v>
      </c>
      <c r="B11" s="14" t="n">
        <v>0.08</v>
      </c>
      <c r="C11" s="13" t="s">
        <v>317</v>
      </c>
      <c r="D11" s="13" t="s">
        <v>318</v>
      </c>
    </row>
    <row r="12" customFormat="false" ht="15" hidden="false" customHeight="false" outlineLevel="0" collapsed="false">
      <c r="A12" s="13" t="s">
        <v>319</v>
      </c>
      <c r="B12" s="14" t="n">
        <v>2</v>
      </c>
      <c r="C12" s="13" t="s">
        <v>320</v>
      </c>
      <c r="D12" s="13" t="s">
        <v>321</v>
      </c>
    </row>
    <row r="13" customFormat="false" ht="15" hidden="false" customHeight="false" outlineLevel="0" collapsed="false">
      <c r="A13" s="13" t="s">
        <v>322</v>
      </c>
      <c r="B13" s="14" t="n">
        <v>20</v>
      </c>
      <c r="C13" s="13" t="s">
        <v>306</v>
      </c>
      <c r="D13" s="13" t="s">
        <v>323</v>
      </c>
    </row>
    <row r="14" customFormat="false" ht="15" hidden="false" customHeight="false" outlineLevel="0" collapsed="false">
      <c r="A14" s="13" t="s">
        <v>324</v>
      </c>
      <c r="B14" s="14" t="n">
        <v>6</v>
      </c>
      <c r="C14" s="13" t="s">
        <v>306</v>
      </c>
      <c r="D14" s="13"/>
    </row>
    <row r="15" customFormat="false" ht="15" hidden="false" customHeight="false" outlineLevel="0" collapsed="false">
      <c r="A15" s="13" t="s">
        <v>325</v>
      </c>
      <c r="B15" s="14" t="n">
        <v>3</v>
      </c>
      <c r="C15" s="13" t="s">
        <v>306</v>
      </c>
      <c r="D15" s="13" t="s">
        <v>326</v>
      </c>
    </row>
    <row r="16" customFormat="false" ht="15" hidden="false" customHeight="false" outlineLevel="0" collapsed="false">
      <c r="A16" s="13" t="s">
        <v>327</v>
      </c>
      <c r="B16" s="14" t="n">
        <v>0.25</v>
      </c>
      <c r="C16" s="13" t="s">
        <v>328</v>
      </c>
      <c r="D16" s="13" t="s">
        <v>329</v>
      </c>
    </row>
    <row r="17" customFormat="false" ht="15" hidden="false" customHeight="false" outlineLevel="0" collapsed="false">
      <c r="A17" s="13" t="s">
        <v>330</v>
      </c>
      <c r="B17" s="14" t="n">
        <v>8</v>
      </c>
      <c r="C17" s="13" t="s">
        <v>306</v>
      </c>
      <c r="D17" s="13"/>
    </row>
    <row r="18" customFormat="false" ht="15" hidden="false" customHeight="false" outlineLevel="0" collapsed="false">
      <c r="A18" s="13" t="s">
        <v>331</v>
      </c>
      <c r="B18" s="14" t="n">
        <v>42</v>
      </c>
      <c r="C18" s="13"/>
      <c r="D18" s="13" t="s">
        <v>332</v>
      </c>
    </row>
    <row r="19" customFormat="false" ht="15" hidden="false" customHeight="false" outlineLevel="0" collapsed="false">
      <c r="A19" s="13" t="s">
        <v>333</v>
      </c>
      <c r="B19" s="14" t="n">
        <v>7</v>
      </c>
      <c r="C19" s="13"/>
      <c r="D19" s="13" t="s">
        <v>334</v>
      </c>
    </row>
    <row r="20" customFormat="false" ht="15" hidden="false" customHeight="false" outlineLevel="0" collapsed="false">
      <c r="A20" s="13" t="s">
        <v>335</v>
      </c>
      <c r="B20" s="14" t="n">
        <v>2000</v>
      </c>
      <c r="C20" s="13" t="s">
        <v>336</v>
      </c>
      <c r="D20" s="13"/>
    </row>
    <row r="21" customFormat="false" ht="15" hidden="false" customHeight="false" outlineLevel="0" collapsed="false">
      <c r="A21" s="4" t="s">
        <v>337</v>
      </c>
      <c r="B21" s="2" t="n">
        <f aca="false">w_offence+w_defence+w_special_teams</f>
        <v>1</v>
      </c>
      <c r="C21" s="2"/>
      <c r="D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10" min="5" style="0" width="10"/>
    <col collapsed="false" customWidth="true" hidden="false" outlineLevel="0" max="11" min="11" style="0" width="9"/>
    <col collapsed="false" customWidth="true" hidden="false" outlineLevel="0" max="12" min="12" style="0" width="14"/>
  </cols>
  <sheetData>
    <row r="1" customFormat="false" ht="19.7" hidden="false" customHeight="false" outlineLevel="0" collapsed="false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339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52.2" hidden="false" customHeight="false" outlineLevel="0" collapsed="false">
      <c r="A4" s="7" t="s">
        <v>133</v>
      </c>
      <c r="B4" s="7" t="s">
        <v>139</v>
      </c>
      <c r="C4" s="7" t="s">
        <v>157</v>
      </c>
      <c r="D4" s="7" t="s">
        <v>163</v>
      </c>
      <c r="E4" s="7" t="s">
        <v>275</v>
      </c>
      <c r="F4" s="7" t="s">
        <v>279</v>
      </c>
      <c r="G4" s="7" t="s">
        <v>282</v>
      </c>
      <c r="H4" s="7" t="s">
        <v>285</v>
      </c>
      <c r="I4" s="7" t="s">
        <v>289</v>
      </c>
      <c r="J4" s="7" t="s">
        <v>292</v>
      </c>
      <c r="K4" s="7" t="s">
        <v>144</v>
      </c>
      <c r="L4" s="7" t="s">
        <v>340</v>
      </c>
    </row>
    <row r="5" customFormat="false" ht="15" hidden="false" customHeight="false" outlineLevel="0" collapsed="false">
      <c r="A5" s="13" t="s">
        <v>341</v>
      </c>
      <c r="B5" s="13" t="s">
        <v>140</v>
      </c>
      <c r="C5" s="13" t="s">
        <v>158</v>
      </c>
      <c r="D5" s="13" t="s">
        <v>164</v>
      </c>
      <c r="E5" s="14" t="n">
        <v>84</v>
      </c>
      <c r="F5" s="14" t="n">
        <v>80</v>
      </c>
      <c r="G5" s="14" t="n">
        <v>72</v>
      </c>
      <c r="H5" s="14" t="n">
        <v>0.04</v>
      </c>
      <c r="I5" s="14" t="n">
        <v>0.03</v>
      </c>
      <c r="J5" s="14" t="n">
        <v>0.01</v>
      </c>
      <c r="K5" s="15" t="b">
        <f aca="false">FALSE()</f>
        <v>0</v>
      </c>
      <c r="L5" s="16" t="n">
        <f aca="false">w_offence*E5*(1+H5)+w_defence*F5*(1+I5)+w_special_teams*G5*(1+J5)</f>
        <v>83.18</v>
      </c>
    </row>
    <row r="6" customFormat="false" ht="15" hidden="false" customHeight="false" outlineLevel="0" collapsed="false">
      <c r="A6" s="13" t="s">
        <v>342</v>
      </c>
      <c r="B6" s="13" t="s">
        <v>343</v>
      </c>
      <c r="C6" s="13" t="s">
        <v>158</v>
      </c>
      <c r="D6" s="13" t="s">
        <v>164</v>
      </c>
      <c r="E6" s="14" t="n">
        <v>66</v>
      </c>
      <c r="F6" s="14" t="n">
        <v>70</v>
      </c>
      <c r="G6" s="14" t="n">
        <v>68</v>
      </c>
      <c r="H6" s="14" t="n">
        <v>0.02</v>
      </c>
      <c r="I6" s="14" t="n">
        <v>0.02</v>
      </c>
      <c r="J6" s="14" t="n">
        <v>0.01</v>
      </c>
      <c r="K6" s="15" t="b">
        <f aca="false">FALSE()</f>
        <v>0</v>
      </c>
      <c r="L6" s="16" t="n">
        <f aca="false">w_offence*E6*(1+H6)+w_defence*F6*(1+I6)+w_special_teams*G6*(1+J6)</f>
        <v>69.156</v>
      </c>
    </row>
    <row r="7" customFormat="false" ht="15" hidden="false" customHeight="false" outlineLevel="0" collapsed="false">
      <c r="A7" s="13" t="s">
        <v>344</v>
      </c>
      <c r="B7" s="13" t="s">
        <v>345</v>
      </c>
      <c r="C7" s="13" t="s">
        <v>158</v>
      </c>
      <c r="D7" s="13" t="s">
        <v>164</v>
      </c>
      <c r="E7" s="14" t="n">
        <v>62</v>
      </c>
      <c r="F7" s="14" t="n">
        <v>64</v>
      </c>
      <c r="G7" s="14" t="n">
        <v>60</v>
      </c>
      <c r="H7" s="14" t="n">
        <v>0.01</v>
      </c>
      <c r="I7" s="14" t="n">
        <v>0.01</v>
      </c>
      <c r="J7" s="14" t="n">
        <v>0</v>
      </c>
      <c r="K7" s="15" t="b">
        <f aca="false">FALSE()</f>
        <v>0</v>
      </c>
      <c r="L7" s="16" t="n">
        <f aca="false">w_offence*E7*(1+H7)+w_defence*F7*(1+I7)+w_special_teams*G7*(1+J7)</f>
        <v>63.035</v>
      </c>
    </row>
    <row r="8" customFormat="false" ht="15" hidden="false" customHeight="false" outlineLevel="0" collapsed="false">
      <c r="A8" s="13" t="s">
        <v>346</v>
      </c>
      <c r="B8" s="13" t="s">
        <v>347</v>
      </c>
      <c r="C8" s="13" t="s">
        <v>158</v>
      </c>
      <c r="D8" s="13" t="s">
        <v>164</v>
      </c>
      <c r="E8" s="14" t="n">
        <v>78</v>
      </c>
      <c r="F8" s="14" t="n">
        <v>72</v>
      </c>
      <c r="G8" s="14" t="n">
        <v>70</v>
      </c>
      <c r="H8" s="14" t="n">
        <v>0.03</v>
      </c>
      <c r="I8" s="14" t="n">
        <v>0.02</v>
      </c>
      <c r="J8" s="14" t="n">
        <v>0.01</v>
      </c>
      <c r="K8" s="15" t="b">
        <f aca="false">FALSE()</f>
        <v>0</v>
      </c>
      <c r="L8" s="16" t="n">
        <f aca="false">w_offence*E8*(1+H8)+w_defence*F8*(1+I8)+w_special_teams*G8*(1+J8)</f>
        <v>76.134</v>
      </c>
    </row>
    <row r="9" customFormat="false" ht="15" hidden="false" customHeight="false" outlineLevel="0" collapsed="false">
      <c r="A9" s="13" t="s">
        <v>348</v>
      </c>
      <c r="B9" s="13" t="s">
        <v>349</v>
      </c>
      <c r="C9" s="13" t="s">
        <v>158</v>
      </c>
      <c r="D9" s="13" t="s">
        <v>164</v>
      </c>
      <c r="E9" s="14" t="n">
        <v>80</v>
      </c>
      <c r="F9" s="14" t="n">
        <v>66</v>
      </c>
      <c r="G9" s="14" t="n">
        <v>64</v>
      </c>
      <c r="H9" s="14" t="n">
        <v>0.03</v>
      </c>
      <c r="I9" s="14" t="n">
        <v>0.01</v>
      </c>
      <c r="J9" s="14" t="n">
        <v>0.01</v>
      </c>
      <c r="K9" s="15" t="b">
        <f aca="false">FALSE()</f>
        <v>0</v>
      </c>
      <c r="L9" s="16" t="n">
        <f aca="false">w_offence*E9*(1+H9)+w_defence*F9*(1+I9)+w_special_teams*G9*(1+J9)</f>
        <v>73.44</v>
      </c>
    </row>
    <row r="10" customFormat="false" ht="15" hidden="false" customHeight="false" outlineLevel="0" collapsed="false">
      <c r="A10" s="13" t="s">
        <v>350</v>
      </c>
      <c r="B10" s="13" t="s">
        <v>351</v>
      </c>
      <c r="C10" s="13" t="s">
        <v>158</v>
      </c>
      <c r="D10" s="13" t="s">
        <v>164</v>
      </c>
      <c r="E10" s="14" t="n">
        <v>58</v>
      </c>
      <c r="F10" s="14" t="n">
        <v>74</v>
      </c>
      <c r="G10" s="14" t="n">
        <v>62</v>
      </c>
      <c r="H10" s="14" t="n">
        <v>0.01</v>
      </c>
      <c r="I10" s="14" t="n">
        <v>0.03</v>
      </c>
      <c r="J10" s="14" t="n">
        <v>0</v>
      </c>
      <c r="K10" s="15" t="b">
        <f aca="false">FALSE()</f>
        <v>0</v>
      </c>
      <c r="L10" s="16" t="n">
        <f aca="false">w_offence*E10*(1+H10)+w_defence*F10*(1+I10)+w_special_teams*G10*(1+J10)</f>
        <v>66.149</v>
      </c>
    </row>
    <row r="11" customFormat="false" ht="15" hidden="false" customHeight="false" outlineLevel="0" collapsed="false">
      <c r="A11" s="13" t="s">
        <v>352</v>
      </c>
      <c r="B11" s="13" t="s">
        <v>353</v>
      </c>
      <c r="C11" s="13" t="s">
        <v>158</v>
      </c>
      <c r="D11" s="13" t="s">
        <v>236</v>
      </c>
      <c r="E11" s="14" t="n">
        <v>76</v>
      </c>
      <c r="F11" s="14" t="n">
        <v>74</v>
      </c>
      <c r="G11" s="14" t="n">
        <v>70</v>
      </c>
      <c r="H11" s="14" t="n">
        <v>0.03</v>
      </c>
      <c r="I11" s="14" t="n">
        <v>0.03</v>
      </c>
      <c r="J11" s="14" t="n">
        <v>0.01</v>
      </c>
      <c r="K11" s="15" t="b">
        <f aca="false">FALSE()</f>
        <v>0</v>
      </c>
      <c r="L11" s="16" t="n">
        <f aca="false">w_offence*E11*(1+H11)+w_defence*F11*(1+I11)+w_special_teams*G11*(1+J11)</f>
        <v>76.319</v>
      </c>
    </row>
    <row r="12" customFormat="false" ht="15" hidden="false" customHeight="false" outlineLevel="0" collapsed="false">
      <c r="A12" s="13" t="s">
        <v>354</v>
      </c>
      <c r="B12" s="13" t="s">
        <v>355</v>
      </c>
      <c r="C12" s="13" t="s">
        <v>158</v>
      </c>
      <c r="D12" s="13" t="s">
        <v>236</v>
      </c>
      <c r="E12" s="14" t="n">
        <v>64</v>
      </c>
      <c r="F12" s="14" t="n">
        <v>78</v>
      </c>
      <c r="G12" s="14" t="n">
        <v>66</v>
      </c>
      <c r="H12" s="14" t="n">
        <v>0.01</v>
      </c>
      <c r="I12" s="14" t="n">
        <v>0.04</v>
      </c>
      <c r="J12" s="14" t="n">
        <v>0.01</v>
      </c>
      <c r="K12" s="15" t="b">
        <f aca="false">FALSE()</f>
        <v>0</v>
      </c>
      <c r="L12" s="16" t="n">
        <f aca="false">w_offence*E12*(1+H12)+w_defence*F12*(1+I12)+w_special_teams*G12*(1+J12)</f>
        <v>71.535</v>
      </c>
    </row>
    <row r="13" customFormat="false" ht="15" hidden="false" customHeight="false" outlineLevel="0" collapsed="false">
      <c r="A13" s="13" t="s">
        <v>356</v>
      </c>
      <c r="B13" s="13" t="s">
        <v>357</v>
      </c>
      <c r="C13" s="13" t="s">
        <v>158</v>
      </c>
      <c r="D13" s="13" t="s">
        <v>236</v>
      </c>
      <c r="E13" s="14" t="n">
        <v>68</v>
      </c>
      <c r="F13" s="14" t="n">
        <v>64</v>
      </c>
      <c r="G13" s="14" t="n">
        <v>74</v>
      </c>
      <c r="H13" s="14" t="n">
        <v>0.02</v>
      </c>
      <c r="I13" s="14" t="n">
        <v>0.01</v>
      </c>
      <c r="J13" s="14" t="n">
        <v>0.02</v>
      </c>
      <c r="K13" s="15" t="b">
        <f aca="false">FALSE()</f>
        <v>0</v>
      </c>
      <c r="L13" s="16" t="n">
        <f aca="false">w_offence*E13*(1+H13)+w_defence*F13*(1+I13)+w_special_teams*G13*(1+J13)</f>
        <v>68.39</v>
      </c>
    </row>
    <row r="14" customFormat="false" ht="15" hidden="false" customHeight="false" outlineLevel="0" collapsed="false">
      <c r="A14" s="13" t="s">
        <v>358</v>
      </c>
      <c r="B14" s="13" t="s">
        <v>359</v>
      </c>
      <c r="C14" s="13" t="s">
        <v>158</v>
      </c>
      <c r="D14" s="13" t="s">
        <v>236</v>
      </c>
      <c r="E14" s="14" t="n">
        <v>60</v>
      </c>
      <c r="F14" s="14" t="n">
        <v>70</v>
      </c>
      <c r="G14" s="14" t="n">
        <v>64</v>
      </c>
      <c r="H14" s="14" t="n">
        <v>0.01</v>
      </c>
      <c r="I14" s="14" t="n">
        <v>0.02</v>
      </c>
      <c r="J14" s="14" t="n">
        <v>0.01</v>
      </c>
      <c r="K14" s="15" t="b">
        <f aca="false">FALSE()</f>
        <v>0</v>
      </c>
      <c r="L14" s="16" t="n">
        <f aca="false">w_offence*E14*(1+H14)+w_defence*F14*(1+I14)+w_special_teams*G14*(1+J14)</f>
        <v>65.526</v>
      </c>
    </row>
    <row r="15" customFormat="false" ht="15" hidden="false" customHeight="false" outlineLevel="0" collapsed="false">
      <c r="A15" s="13" t="s">
        <v>360</v>
      </c>
      <c r="B15" s="13" t="s">
        <v>361</v>
      </c>
      <c r="C15" s="13" t="s">
        <v>158</v>
      </c>
      <c r="D15" s="13" t="s">
        <v>236</v>
      </c>
      <c r="E15" s="14" t="n">
        <v>56</v>
      </c>
      <c r="F15" s="14" t="n">
        <v>60</v>
      </c>
      <c r="G15" s="14" t="n">
        <v>58</v>
      </c>
      <c r="H15" s="14" t="n">
        <v>0</v>
      </c>
      <c r="I15" s="14" t="n">
        <v>0.01</v>
      </c>
      <c r="J15" s="14" t="n">
        <v>0</v>
      </c>
      <c r="K15" s="15" t="b">
        <f aca="false">FALSE()</f>
        <v>0</v>
      </c>
      <c r="L15" s="16" t="n">
        <f aca="false">w_offence*E15*(1+H15)+w_defence*F15*(1+I15)+w_special_teams*G15*(1+J15)</f>
        <v>58.14</v>
      </c>
    </row>
    <row r="16" customFormat="false" ht="15" hidden="false" customHeight="false" outlineLevel="0" collapsed="false">
      <c r="A16" s="13" t="s">
        <v>362</v>
      </c>
      <c r="B16" s="13" t="s">
        <v>172</v>
      </c>
      <c r="C16" s="13" t="s">
        <v>158</v>
      </c>
      <c r="D16" s="13" t="s">
        <v>236</v>
      </c>
      <c r="E16" s="14" t="n">
        <v>70</v>
      </c>
      <c r="F16" s="14" t="n">
        <v>70</v>
      </c>
      <c r="G16" s="14" t="n">
        <v>66</v>
      </c>
      <c r="H16" s="14" t="n">
        <v>0.02</v>
      </c>
      <c r="I16" s="14" t="n">
        <v>0.02</v>
      </c>
      <c r="J16" s="14" t="n">
        <v>0.01</v>
      </c>
      <c r="K16" s="15" t="b">
        <f aca="false">TRUE()</f>
        <v>1</v>
      </c>
      <c r="L16" s="16" t="n">
        <f aca="false">w_offence*E16*(1+H16)+w_defence*F16*(1+I16)+w_special_teams*G16*(1+J16)</f>
        <v>70.689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3"/>
  </cols>
  <sheetData>
    <row r="1" customFormat="false" ht="19.7" hidden="false" customHeight="false" outlineLevel="0" collapsed="false">
      <c r="A1" s="1" t="s">
        <v>363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364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365</v>
      </c>
      <c r="B4" s="7" t="s">
        <v>366</v>
      </c>
      <c r="C4" s="7" t="s">
        <v>367</v>
      </c>
      <c r="D4" s="7" t="s">
        <v>368</v>
      </c>
      <c r="E4" s="7" t="s">
        <v>369</v>
      </c>
      <c r="F4" s="7" t="s">
        <v>370</v>
      </c>
    </row>
    <row r="5" customFormat="false" ht="26.85" hidden="false" customHeight="false" outlineLevel="0" collapsed="false">
      <c r="A5" s="8" t="s">
        <v>106</v>
      </c>
      <c r="B5" s="8" t="s">
        <v>12</v>
      </c>
      <c r="C5" s="8" t="s">
        <v>371</v>
      </c>
      <c r="D5" s="8" t="s">
        <v>372</v>
      </c>
      <c r="E5" s="8" t="s">
        <v>373</v>
      </c>
      <c r="F5" s="12" t="s">
        <v>374</v>
      </c>
    </row>
    <row r="6" customFormat="false" ht="15" hidden="false" customHeight="false" outlineLevel="0" collapsed="false">
      <c r="A6" s="8" t="s">
        <v>106</v>
      </c>
      <c r="B6" s="8" t="s">
        <v>375</v>
      </c>
      <c r="C6" s="8" t="s">
        <v>376</v>
      </c>
      <c r="D6" s="8" t="s">
        <v>377</v>
      </c>
      <c r="E6" s="8" t="s">
        <v>266</v>
      </c>
      <c r="F6" s="12" t="s">
        <v>374</v>
      </c>
    </row>
    <row r="7" customFormat="false" ht="26.85" hidden="false" customHeight="false" outlineLevel="0" collapsed="false">
      <c r="A7" s="8" t="s">
        <v>106</v>
      </c>
      <c r="B7" s="8" t="s">
        <v>201</v>
      </c>
      <c r="C7" s="8" t="s">
        <v>378</v>
      </c>
      <c r="D7" s="8" t="s">
        <v>379</v>
      </c>
      <c r="E7" s="8" t="s">
        <v>380</v>
      </c>
      <c r="F7" s="17" t="s">
        <v>381</v>
      </c>
    </row>
    <row r="8" customFormat="false" ht="26.85" hidden="false" customHeight="false" outlineLevel="0" collapsed="false">
      <c r="A8" s="8" t="s">
        <v>106</v>
      </c>
      <c r="B8" s="8" t="s">
        <v>382</v>
      </c>
      <c r="C8" s="8" t="s">
        <v>383</v>
      </c>
      <c r="D8" s="8" t="s">
        <v>384</v>
      </c>
      <c r="E8" s="8" t="s">
        <v>385</v>
      </c>
      <c r="F8" s="12" t="s">
        <v>374</v>
      </c>
    </row>
    <row r="9" customFormat="false" ht="39.55" hidden="false" customHeight="false" outlineLevel="0" collapsed="false">
      <c r="A9" s="8" t="s">
        <v>106</v>
      </c>
      <c r="B9" s="8" t="s">
        <v>386</v>
      </c>
      <c r="C9" s="8" t="s">
        <v>387</v>
      </c>
      <c r="D9" s="8" t="s">
        <v>388</v>
      </c>
      <c r="E9" s="8" t="s">
        <v>389</v>
      </c>
      <c r="F9" s="18" t="s">
        <v>390</v>
      </c>
    </row>
    <row r="10" customFormat="false" ht="15" hidden="false" customHeight="false" outlineLevel="0" collapsed="false">
      <c r="A10" s="8" t="s">
        <v>391</v>
      </c>
      <c r="B10" s="8" t="s">
        <v>392</v>
      </c>
      <c r="C10" s="8" t="s">
        <v>393</v>
      </c>
      <c r="D10" s="8" t="s">
        <v>394</v>
      </c>
      <c r="E10" s="8" t="s">
        <v>395</v>
      </c>
      <c r="F10" s="12" t="s">
        <v>374</v>
      </c>
    </row>
    <row r="11" customFormat="false" ht="26.85" hidden="false" customHeight="false" outlineLevel="0" collapsed="false">
      <c r="A11" s="8" t="s">
        <v>391</v>
      </c>
      <c r="B11" s="8" t="s">
        <v>396</v>
      </c>
      <c r="C11" s="8" t="s">
        <v>397</v>
      </c>
      <c r="D11" s="8" t="s">
        <v>398</v>
      </c>
      <c r="E11" s="8" t="s">
        <v>399</v>
      </c>
      <c r="F11" s="12" t="s">
        <v>374</v>
      </c>
    </row>
    <row r="12" customFormat="false" ht="15" hidden="false" customHeight="false" outlineLevel="0" collapsed="false">
      <c r="A12" s="8" t="s">
        <v>391</v>
      </c>
      <c r="B12" s="8" t="s">
        <v>400</v>
      </c>
      <c r="C12" s="8" t="s">
        <v>401</v>
      </c>
      <c r="D12" s="8" t="s">
        <v>402</v>
      </c>
      <c r="E12" s="8" t="s">
        <v>403</v>
      </c>
      <c r="F12" s="12" t="s">
        <v>374</v>
      </c>
    </row>
    <row r="13" customFormat="false" ht="26.85" hidden="false" customHeight="false" outlineLevel="0" collapsed="false">
      <c r="A13" s="8" t="s">
        <v>404</v>
      </c>
      <c r="B13" s="8" t="s">
        <v>405</v>
      </c>
      <c r="C13" s="8" t="s">
        <v>406</v>
      </c>
      <c r="D13" s="8" t="s">
        <v>407</v>
      </c>
      <c r="E13" s="8" t="s">
        <v>408</v>
      </c>
      <c r="F13" s="12" t="s">
        <v>374</v>
      </c>
    </row>
    <row r="14" customFormat="false" ht="26.85" hidden="false" customHeight="false" outlineLevel="0" collapsed="false">
      <c r="A14" s="8" t="s">
        <v>404</v>
      </c>
      <c r="B14" s="8" t="s">
        <v>409</v>
      </c>
      <c r="C14" s="8" t="s">
        <v>410</v>
      </c>
      <c r="D14" s="8" t="s">
        <v>411</v>
      </c>
      <c r="E14" s="8" t="s">
        <v>412</v>
      </c>
      <c r="F14" s="19" t="s">
        <v>413</v>
      </c>
    </row>
    <row r="15" customFormat="false" ht="26.85" hidden="false" customHeight="false" outlineLevel="0" collapsed="false">
      <c r="A15" s="8" t="s">
        <v>414</v>
      </c>
      <c r="B15" s="8" t="s">
        <v>415</v>
      </c>
      <c r="C15" s="8" t="s">
        <v>416</v>
      </c>
      <c r="D15" s="8" t="s">
        <v>417</v>
      </c>
      <c r="E15" s="8" t="s">
        <v>418</v>
      </c>
      <c r="F15" s="18" t="s">
        <v>419</v>
      </c>
    </row>
    <row r="16" customFormat="false" ht="15" hidden="false" customHeight="false" outlineLevel="0" collapsed="false">
      <c r="A16" s="8" t="s">
        <v>414</v>
      </c>
      <c r="B16" s="8" t="s">
        <v>420</v>
      </c>
      <c r="C16" s="8" t="s">
        <v>421</v>
      </c>
      <c r="D16" s="8" t="s">
        <v>422</v>
      </c>
      <c r="E16" s="8" t="s">
        <v>423</v>
      </c>
      <c r="F16" s="12" t="s">
        <v>424</v>
      </c>
    </row>
    <row r="17" customFormat="false" ht="26.85" hidden="false" customHeight="false" outlineLevel="0" collapsed="false">
      <c r="A17" s="8" t="s">
        <v>425</v>
      </c>
      <c r="B17" s="8" t="s">
        <v>426</v>
      </c>
      <c r="C17" s="8" t="s">
        <v>427</v>
      </c>
      <c r="D17" s="8" t="s">
        <v>428</v>
      </c>
      <c r="E17" s="8"/>
      <c r="F17" s="20" t="s">
        <v>429</v>
      </c>
    </row>
    <row r="18" customFormat="false" ht="26.85" hidden="false" customHeight="false" outlineLevel="0" collapsed="false">
      <c r="A18" s="8" t="s">
        <v>430</v>
      </c>
      <c r="B18" s="8" t="s">
        <v>431</v>
      </c>
      <c r="C18" s="8" t="s">
        <v>432</v>
      </c>
      <c r="D18" s="8" t="s">
        <v>433</v>
      </c>
      <c r="E18" s="8" t="s">
        <v>434</v>
      </c>
      <c r="F18" s="20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00"/>
    <col collapsed="false" customWidth="true" hidden="false" outlineLevel="0" max="4" min="4" style="0" width="26"/>
  </cols>
  <sheetData>
    <row r="1" customFormat="false" ht="19.7" hidden="false" customHeight="false" outlineLevel="0" collapsed="false">
      <c r="A1" s="1" t="s">
        <v>436</v>
      </c>
      <c r="B1" s="2"/>
      <c r="C1" s="2"/>
      <c r="D1" s="2"/>
    </row>
    <row r="2" customFormat="false" ht="15" hidden="false" customHeight="false" outlineLevel="0" collapsed="false">
      <c r="A2" s="3" t="s">
        <v>437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7" t="s">
        <v>438</v>
      </c>
      <c r="B4" s="7" t="s">
        <v>439</v>
      </c>
      <c r="C4" s="7" t="s">
        <v>440</v>
      </c>
      <c r="D4" s="7" t="s">
        <v>441</v>
      </c>
    </row>
    <row r="5" customFormat="false" ht="26.85" hidden="false" customHeight="false" outlineLevel="0" collapsed="false">
      <c r="A5" s="8" t="n">
        <v>1</v>
      </c>
      <c r="B5" s="8" t="s">
        <v>442</v>
      </c>
      <c r="C5" s="8" t="s">
        <v>443</v>
      </c>
      <c r="D5" s="8" t="s">
        <v>444</v>
      </c>
    </row>
    <row r="6" customFormat="false" ht="26.85" hidden="false" customHeight="false" outlineLevel="0" collapsed="false">
      <c r="A6" s="8" t="n">
        <v>2</v>
      </c>
      <c r="B6" s="8" t="s">
        <v>445</v>
      </c>
      <c r="C6" s="8" t="s">
        <v>446</v>
      </c>
      <c r="D6" s="8" t="s">
        <v>447</v>
      </c>
    </row>
    <row r="7" customFormat="false" ht="26.85" hidden="false" customHeight="false" outlineLevel="0" collapsed="false">
      <c r="A7" s="8" t="n">
        <v>3</v>
      </c>
      <c r="B7" s="8" t="s">
        <v>448</v>
      </c>
      <c r="C7" s="8" t="s">
        <v>449</v>
      </c>
      <c r="D7" s="8" t="s">
        <v>450</v>
      </c>
    </row>
    <row r="8" customFormat="false" ht="15" hidden="false" customHeight="false" outlineLevel="0" collapsed="false">
      <c r="A8" s="8" t="n">
        <v>4</v>
      </c>
      <c r="B8" s="8" t="s">
        <v>451</v>
      </c>
      <c r="C8" s="8" t="s">
        <v>452</v>
      </c>
      <c r="D8" s="8" t="s">
        <v>453</v>
      </c>
    </row>
    <row r="9" customFormat="false" ht="15" hidden="false" customHeight="false" outlineLevel="0" collapsed="false">
      <c r="A9" s="8" t="n">
        <v>5</v>
      </c>
      <c r="B9" s="8" t="s">
        <v>454</v>
      </c>
      <c r="C9" s="8" t="s">
        <v>455</v>
      </c>
      <c r="D9" s="8" t="s">
        <v>456</v>
      </c>
    </row>
    <row r="10" customFormat="false" ht="26.85" hidden="false" customHeight="false" outlineLevel="0" collapsed="false">
      <c r="A10" s="8" t="n">
        <v>6</v>
      </c>
      <c r="B10" s="8" t="s">
        <v>13</v>
      </c>
      <c r="C10" s="8" t="s">
        <v>457</v>
      </c>
      <c r="D10" s="8" t="s">
        <v>456</v>
      </c>
    </row>
    <row r="11" customFormat="false" ht="26.85" hidden="false" customHeight="false" outlineLevel="0" collapsed="false">
      <c r="A11" s="8" t="n">
        <v>7</v>
      </c>
      <c r="B11" s="8" t="s">
        <v>458</v>
      </c>
      <c r="C11" s="8" t="s">
        <v>459</v>
      </c>
      <c r="D11" s="8" t="s">
        <v>456</v>
      </c>
    </row>
    <row r="12" customFormat="false" ht="26.85" hidden="false" customHeight="false" outlineLevel="0" collapsed="false">
      <c r="A12" s="8" t="n">
        <v>8</v>
      </c>
      <c r="B12" s="8" t="s">
        <v>238</v>
      </c>
      <c r="C12" s="8" t="s">
        <v>460</v>
      </c>
      <c r="D12" s="8" t="s">
        <v>456</v>
      </c>
    </row>
    <row r="13" customFormat="false" ht="15" hidden="false" customHeight="false" outlineLevel="0" collapsed="false">
      <c r="A13" s="8" t="n">
        <v>9</v>
      </c>
      <c r="B13" s="8" t="s">
        <v>461</v>
      </c>
      <c r="C13" s="8" t="s">
        <v>462</v>
      </c>
      <c r="D13" s="8" t="s">
        <v>463</v>
      </c>
    </row>
    <row r="14" customFormat="false" ht="15" hidden="false" customHeight="false" outlineLevel="0" collapsed="false">
      <c r="A14" s="8" t="n">
        <v>10</v>
      </c>
      <c r="B14" s="8" t="s">
        <v>464</v>
      </c>
      <c r="C14" s="8" t="s">
        <v>465</v>
      </c>
      <c r="D14" s="8" t="s">
        <v>466</v>
      </c>
    </row>
    <row r="15" customFormat="false" ht="26.85" hidden="false" customHeight="false" outlineLevel="0" collapsed="false">
      <c r="A15" s="8" t="n">
        <v>11</v>
      </c>
      <c r="B15" s="8" t="s">
        <v>467</v>
      </c>
      <c r="C15" s="8" t="s">
        <v>468</v>
      </c>
      <c r="D15" s="8" t="s">
        <v>469</v>
      </c>
    </row>
    <row r="16" customFormat="false" ht="26.85" hidden="false" customHeight="false" outlineLevel="0" collapsed="false">
      <c r="A16" s="8" t="n">
        <v>12</v>
      </c>
      <c r="B16" s="8" t="s">
        <v>470</v>
      </c>
      <c r="C16" s="8" t="s">
        <v>471</v>
      </c>
      <c r="D1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472</v>
      </c>
      <c r="B1" s="2"/>
      <c r="C1" s="2"/>
      <c r="D1" s="2"/>
    </row>
    <row r="2" customFormat="false" ht="15" hidden="false" customHeight="false" outlineLevel="0" collapsed="false">
      <c r="A2" s="3" t="s">
        <v>473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26.85" hidden="false" customHeight="false" outlineLevel="0" collapsed="false">
      <c r="A4" s="7" t="s">
        <v>474</v>
      </c>
      <c r="B4" s="7" t="s">
        <v>475</v>
      </c>
      <c r="C4" s="7" t="s">
        <v>476</v>
      </c>
      <c r="D4" s="7" t="s">
        <v>477</v>
      </c>
    </row>
    <row r="5" customFormat="false" ht="15" hidden="false" customHeight="false" outlineLevel="0" collapsed="false">
      <c r="A5" s="21" t="n">
        <v>-30</v>
      </c>
      <c r="B5" s="22" t="n">
        <f aca="false">1/(1+EXP(-k*(A5+home_advantage)))</f>
        <v>0.0962155417106928</v>
      </c>
      <c r="C5" s="22" t="n">
        <f aca="false">1/(1+EXP(-k*A5))</f>
        <v>0.0831726964939224</v>
      </c>
      <c r="D5" s="22" t="n">
        <f aca="false">1/(1+EXP(-k*(A5-home_advantage)))</f>
        <v>0.0717575422637513</v>
      </c>
    </row>
    <row r="6" customFormat="false" ht="15" hidden="false" customHeight="false" outlineLevel="0" collapsed="false">
      <c r="A6" s="21" t="n">
        <v>-28</v>
      </c>
      <c r="B6" s="22" t="n">
        <f aca="false">1/(1+EXP(-k*(A6+home_advantage)))</f>
        <v>0.111055966711408</v>
      </c>
      <c r="C6" s="22" t="n">
        <f aca="false">1/(1+EXP(-k*A6))</f>
        <v>0.0962155417106928</v>
      </c>
      <c r="D6" s="22" t="n">
        <f aca="false">1/(1+EXP(-k*(A6-home_advantage)))</f>
        <v>0.0831726964939224</v>
      </c>
    </row>
    <row r="7" customFormat="false" ht="15" hidden="false" customHeight="false" outlineLevel="0" collapsed="false">
      <c r="A7" s="21" t="n">
        <v>-26</v>
      </c>
      <c r="B7" s="22" t="n">
        <f aca="false">1/(1+EXP(-k*(A7+home_advantage)))</f>
        <v>0.127861566319081</v>
      </c>
      <c r="C7" s="22" t="n">
        <f aca="false">1/(1+EXP(-k*A7))</f>
        <v>0.111055966711408</v>
      </c>
      <c r="D7" s="22" t="n">
        <f aca="false">1/(1+EXP(-k*(A7-home_advantage)))</f>
        <v>0.0962155417106928</v>
      </c>
    </row>
    <row r="8" customFormat="false" ht="15" hidden="false" customHeight="false" outlineLevel="0" collapsed="false">
      <c r="A8" s="21" t="n">
        <v>-24</v>
      </c>
      <c r="B8" s="22" t="n">
        <f aca="false">1/(1+EXP(-k*(A8+home_advantage)))</f>
        <v>0.146790339801382</v>
      </c>
      <c r="C8" s="22" t="n">
        <f aca="false">1/(1+EXP(-k*A8))</f>
        <v>0.127861566319081</v>
      </c>
      <c r="D8" s="22" t="n">
        <f aca="false">1/(1+EXP(-k*(A8-home_advantage)))</f>
        <v>0.111055966711408</v>
      </c>
    </row>
    <row r="9" customFormat="false" ht="15" hidden="false" customHeight="false" outlineLevel="0" collapsed="false">
      <c r="A9" s="21" t="n">
        <v>-22</v>
      </c>
      <c r="B9" s="22" t="n">
        <f aca="false">1/(1+EXP(-k*(A9+home_advantage)))</f>
        <v>0.167981614866076</v>
      </c>
      <c r="C9" s="22" t="n">
        <f aca="false">1/(1+EXP(-k*A9))</f>
        <v>0.146790339801382</v>
      </c>
      <c r="D9" s="22" t="n">
        <f aca="false">1/(1+EXP(-k*(A9-home_advantage)))</f>
        <v>0.127861566319081</v>
      </c>
    </row>
    <row r="10" customFormat="false" ht="15" hidden="false" customHeight="false" outlineLevel="0" collapsed="false">
      <c r="A10" s="21" t="n">
        <v>-20</v>
      </c>
      <c r="B10" s="22" t="n">
        <f aca="false">1/(1+EXP(-k*(A10+home_advantage)))</f>
        <v>0.191545348561468</v>
      </c>
      <c r="C10" s="22" t="n">
        <f aca="false">1/(1+EXP(-k*A10))</f>
        <v>0.167981614866076</v>
      </c>
      <c r="D10" s="22" t="n">
        <f aca="false">1/(1+EXP(-k*(A10-home_advantage)))</f>
        <v>0.146790339801382</v>
      </c>
    </row>
    <row r="11" customFormat="false" ht="15" hidden="false" customHeight="false" outlineLevel="0" collapsed="false">
      <c r="A11" s="21" t="n">
        <v>-18</v>
      </c>
      <c r="B11" s="22" t="n">
        <f aca="false">1/(1+EXP(-k*(A11+home_advantage)))</f>
        <v>0.217550223576888</v>
      </c>
      <c r="C11" s="22" t="n">
        <f aca="false">1/(1+EXP(-k*A11))</f>
        <v>0.191545348561468</v>
      </c>
      <c r="D11" s="22" t="n">
        <f aca="false">1/(1+EXP(-k*(A11-home_advantage)))</f>
        <v>0.167981614866076</v>
      </c>
    </row>
    <row r="12" customFormat="false" ht="15" hidden="false" customHeight="false" outlineLevel="0" collapsed="false">
      <c r="A12" s="21" t="n">
        <v>-16</v>
      </c>
      <c r="B12" s="22" t="n">
        <f aca="false">1/(1+EXP(-k*(A12+home_advantage)))</f>
        <v>0.246011283551052</v>
      </c>
      <c r="C12" s="22" t="n">
        <f aca="false">1/(1+EXP(-k*A12))</f>
        <v>0.217550223576888</v>
      </c>
      <c r="D12" s="22" t="n">
        <f aca="false">1/(1+EXP(-k*(A12-home_advantage)))</f>
        <v>0.191545348561468</v>
      </c>
    </row>
    <row r="13" customFormat="false" ht="15" hidden="false" customHeight="false" outlineLevel="0" collapsed="false">
      <c r="A13" s="21" t="n">
        <v>-14</v>
      </c>
      <c r="B13" s="22" t="n">
        <f aca="false">1/(1+EXP(-k*(A13+home_advantage)))</f>
        <v>0.27687819487561</v>
      </c>
      <c r="C13" s="22" t="n">
        <f aca="false">1/(1+EXP(-k*A13))</f>
        <v>0.246011283551052</v>
      </c>
      <c r="D13" s="22" t="n">
        <f aca="false">1/(1+EXP(-k*(A13-home_advantage)))</f>
        <v>0.217550223576888</v>
      </c>
    </row>
    <row r="14" customFormat="false" ht="15" hidden="false" customHeight="false" outlineLevel="0" collapsed="false">
      <c r="A14" s="21" t="n">
        <v>-12</v>
      </c>
      <c r="B14" s="22" t="n">
        <f aca="false">1/(1+EXP(-k*(A14+home_advantage)))</f>
        <v>0.310025518872388</v>
      </c>
      <c r="C14" s="22" t="n">
        <f aca="false">1/(1+EXP(-k*A14))</f>
        <v>0.27687819487561</v>
      </c>
      <c r="D14" s="22" t="n">
        <f aca="false">1/(1+EXP(-k*(A14-home_advantage)))</f>
        <v>0.246011283551052</v>
      </c>
    </row>
    <row r="15" customFormat="false" ht="15" hidden="false" customHeight="false" outlineLevel="0" collapsed="false">
      <c r="A15" s="21" t="n">
        <v>-10</v>
      </c>
      <c r="B15" s="22" t="n">
        <f aca="false">1/(1+EXP(-k*(A15+home_advantage)))</f>
        <v>0.345246539393681</v>
      </c>
      <c r="C15" s="22" t="n">
        <f aca="false">1/(1+EXP(-k*A15))</f>
        <v>0.310025518872388</v>
      </c>
      <c r="D15" s="22" t="n">
        <f aca="false">1/(1+EXP(-k*(A15-home_advantage)))</f>
        <v>0.27687819487561</v>
      </c>
    </row>
    <row r="16" customFormat="false" ht="15" hidden="false" customHeight="false" outlineLevel="0" collapsed="false">
      <c r="A16" s="21" t="n">
        <v>-8</v>
      </c>
      <c r="B16" s="22" t="n">
        <f aca="false">1/(1+EXP(-k*(A16+home_advantage)))</f>
        <v>0.382252125230751</v>
      </c>
      <c r="C16" s="22" t="n">
        <f aca="false">1/(1+EXP(-k*A16))</f>
        <v>0.345246539393681</v>
      </c>
      <c r="D16" s="22" t="n">
        <f aca="false">1/(1+EXP(-k*(A16-home_advantage)))</f>
        <v>0.310025518872388</v>
      </c>
    </row>
    <row r="17" customFormat="false" ht="15" hidden="false" customHeight="false" outlineLevel="0" collapsed="false">
      <c r="A17" s="21" t="n">
        <v>-6</v>
      </c>
      <c r="B17" s="22" t="n">
        <f aca="false">1/(1+EXP(-k*(A17+home_advantage)))</f>
        <v>0.420675747851251</v>
      </c>
      <c r="C17" s="22" t="n">
        <f aca="false">1/(1+EXP(-k*A17))</f>
        <v>0.382252125230751</v>
      </c>
      <c r="D17" s="22" t="n">
        <f aca="false">1/(1+EXP(-k*(A17-home_advantage)))</f>
        <v>0.345246539393681</v>
      </c>
    </row>
    <row r="18" customFormat="false" ht="15" hidden="false" customHeight="false" outlineLevel="0" collapsed="false">
      <c r="A18" s="21" t="n">
        <v>-4</v>
      </c>
      <c r="B18" s="22" t="n">
        <f aca="false">1/(1+EXP(-k*(A18+home_advantage)))</f>
        <v>0.460085115444434</v>
      </c>
      <c r="C18" s="22" t="n">
        <f aca="false">1/(1+EXP(-k*A18))</f>
        <v>0.420675747851251</v>
      </c>
      <c r="D18" s="22" t="n">
        <f aca="false">1/(1+EXP(-k*(A18-home_advantage)))</f>
        <v>0.382252125230751</v>
      </c>
    </row>
    <row r="19" customFormat="false" ht="15" hidden="false" customHeight="false" outlineLevel="0" collapsed="false">
      <c r="A19" s="21" t="n">
        <v>-2</v>
      </c>
      <c r="B19" s="22" t="n">
        <f aca="false">1/(1+EXP(-k*(A19+home_advantage)))</f>
        <v>0.5</v>
      </c>
      <c r="C19" s="22" t="n">
        <f aca="false">1/(1+EXP(-k*A19))</f>
        <v>0.460085115444434</v>
      </c>
      <c r="D19" s="22" t="n">
        <f aca="false">1/(1+EXP(-k*(A19-home_advantage)))</f>
        <v>0.420675747851251</v>
      </c>
    </row>
    <row r="20" customFormat="false" ht="15" hidden="false" customHeight="false" outlineLevel="0" collapsed="false">
      <c r="A20" s="21" t="n">
        <v>0</v>
      </c>
      <c r="B20" s="22" t="n">
        <f aca="false">1/(1+EXP(-k*(A20+home_advantage)))</f>
        <v>0.539914884555566</v>
      </c>
      <c r="C20" s="22" t="n">
        <f aca="false">1/(1+EXP(-k*A20))</f>
        <v>0.5</v>
      </c>
      <c r="D20" s="22" t="n">
        <f aca="false">1/(1+EXP(-k*(A20-home_advantage)))</f>
        <v>0.460085115444434</v>
      </c>
    </row>
    <row r="21" customFormat="false" ht="15" hidden="false" customHeight="false" outlineLevel="0" collapsed="false">
      <c r="A21" s="21" t="n">
        <v>2</v>
      </c>
      <c r="B21" s="22" t="n">
        <f aca="false">1/(1+EXP(-k*(A21+home_advantage)))</f>
        <v>0.57932425214875</v>
      </c>
      <c r="C21" s="22" t="n">
        <f aca="false">1/(1+EXP(-k*A21))</f>
        <v>0.539914884555566</v>
      </c>
      <c r="D21" s="22" t="n">
        <f aca="false">1/(1+EXP(-k*(A21-home_advantage)))</f>
        <v>0.5</v>
      </c>
    </row>
    <row r="22" customFormat="false" ht="15" hidden="false" customHeight="false" outlineLevel="0" collapsed="false">
      <c r="A22" s="21" t="n">
        <v>4</v>
      </c>
      <c r="B22" s="22" t="n">
        <f aca="false">1/(1+EXP(-k*(A22+home_advantage)))</f>
        <v>0.617747874769249</v>
      </c>
      <c r="C22" s="22" t="n">
        <f aca="false">1/(1+EXP(-k*A22))</f>
        <v>0.57932425214875</v>
      </c>
      <c r="D22" s="22" t="n">
        <f aca="false">1/(1+EXP(-k*(A22-home_advantage)))</f>
        <v>0.539914884555566</v>
      </c>
    </row>
    <row r="23" customFormat="false" ht="15" hidden="false" customHeight="false" outlineLevel="0" collapsed="false">
      <c r="A23" s="21" t="n">
        <v>6</v>
      </c>
      <c r="B23" s="22" t="n">
        <f aca="false">1/(1+EXP(-k*(A23+home_advantage)))</f>
        <v>0.654753460606319</v>
      </c>
      <c r="C23" s="22" t="n">
        <f aca="false">1/(1+EXP(-k*A23))</f>
        <v>0.617747874769249</v>
      </c>
      <c r="D23" s="22" t="n">
        <f aca="false">1/(1+EXP(-k*(A23-home_advantage)))</f>
        <v>0.57932425214875</v>
      </c>
    </row>
    <row r="24" customFormat="false" ht="15" hidden="false" customHeight="false" outlineLevel="0" collapsed="false">
      <c r="A24" s="21" t="n">
        <v>8</v>
      </c>
      <c r="B24" s="22" t="n">
        <f aca="false">1/(1+EXP(-k*(A24+home_advantage)))</f>
        <v>0.689974481127613</v>
      </c>
      <c r="C24" s="22" t="n">
        <f aca="false">1/(1+EXP(-k*A24))</f>
        <v>0.654753460606319</v>
      </c>
      <c r="D24" s="22" t="n">
        <f aca="false">1/(1+EXP(-k*(A24-home_advantage)))</f>
        <v>0.617747874769249</v>
      </c>
    </row>
    <row r="25" customFormat="false" ht="15" hidden="false" customHeight="false" outlineLevel="0" collapsed="false">
      <c r="A25" s="21" t="n">
        <v>10</v>
      </c>
      <c r="B25" s="22" t="n">
        <f aca="false">1/(1+EXP(-k*(A25+home_advantage)))</f>
        <v>0.72312180512439</v>
      </c>
      <c r="C25" s="22" t="n">
        <f aca="false">1/(1+EXP(-k*A25))</f>
        <v>0.689974481127613</v>
      </c>
      <c r="D25" s="22" t="n">
        <f aca="false">1/(1+EXP(-k*(A25-home_advantage)))</f>
        <v>0.654753460606319</v>
      </c>
    </row>
    <row r="26" customFormat="false" ht="15" hidden="false" customHeight="false" outlineLevel="0" collapsed="false">
      <c r="A26" s="21" t="n">
        <v>12</v>
      </c>
      <c r="B26" s="22" t="n">
        <f aca="false">1/(1+EXP(-k*(A26+home_advantage)))</f>
        <v>0.753988716448948</v>
      </c>
      <c r="C26" s="22" t="n">
        <f aca="false">1/(1+EXP(-k*A26))</f>
        <v>0.72312180512439</v>
      </c>
      <c r="D26" s="22" t="n">
        <f aca="false">1/(1+EXP(-k*(A26-home_advantage)))</f>
        <v>0.689974481127613</v>
      </c>
    </row>
    <row r="27" customFormat="false" ht="15" hidden="false" customHeight="false" outlineLevel="0" collapsed="false">
      <c r="A27" s="21" t="n">
        <v>14</v>
      </c>
      <c r="B27" s="22" t="n">
        <f aca="false">1/(1+EXP(-k*(A27+home_advantage)))</f>
        <v>0.782449776423112</v>
      </c>
      <c r="C27" s="22" t="n">
        <f aca="false">1/(1+EXP(-k*A27))</f>
        <v>0.753988716448948</v>
      </c>
      <c r="D27" s="22" t="n">
        <f aca="false">1/(1+EXP(-k*(A27-home_advantage)))</f>
        <v>0.72312180512439</v>
      </c>
    </row>
    <row r="28" customFormat="false" ht="15" hidden="false" customHeight="false" outlineLevel="0" collapsed="false">
      <c r="A28" s="21" t="n">
        <v>16</v>
      </c>
      <c r="B28" s="22" t="n">
        <f aca="false">1/(1+EXP(-k*(A28+home_advantage)))</f>
        <v>0.808454651438533</v>
      </c>
      <c r="C28" s="22" t="n">
        <f aca="false">1/(1+EXP(-k*A28))</f>
        <v>0.782449776423112</v>
      </c>
      <c r="D28" s="22" t="n">
        <f aca="false">1/(1+EXP(-k*(A28-home_advantage)))</f>
        <v>0.753988716448948</v>
      </c>
    </row>
    <row r="29" customFormat="false" ht="15" hidden="false" customHeight="false" outlineLevel="0" collapsed="false">
      <c r="A29" s="21" t="n">
        <v>18</v>
      </c>
      <c r="B29" s="22" t="n">
        <f aca="false">1/(1+EXP(-k*(A29+home_advantage)))</f>
        <v>0.832018385133925</v>
      </c>
      <c r="C29" s="22" t="n">
        <f aca="false">1/(1+EXP(-k*A29))</f>
        <v>0.808454651438533</v>
      </c>
      <c r="D29" s="22" t="n">
        <f aca="false">1/(1+EXP(-k*(A29-home_advantage)))</f>
        <v>0.782449776423112</v>
      </c>
    </row>
    <row r="30" customFormat="false" ht="15" hidden="false" customHeight="false" outlineLevel="0" collapsed="false">
      <c r="A30" s="21" t="n">
        <v>20</v>
      </c>
      <c r="B30" s="22" t="n">
        <f aca="false">1/(1+EXP(-k*(A30+home_advantage)))</f>
        <v>0.853209660198618</v>
      </c>
      <c r="C30" s="22" t="n">
        <f aca="false">1/(1+EXP(-k*A30))</f>
        <v>0.832018385133925</v>
      </c>
      <c r="D30" s="22" t="n">
        <f aca="false">1/(1+EXP(-k*(A30-home_advantage)))</f>
        <v>0.808454651438533</v>
      </c>
    </row>
    <row r="31" customFormat="false" ht="15" hidden="false" customHeight="false" outlineLevel="0" collapsed="false">
      <c r="A31" s="21" t="n">
        <v>22</v>
      </c>
      <c r="B31" s="22" t="n">
        <f aca="false">1/(1+EXP(-k*(A31+home_advantage)))</f>
        <v>0.872138433680919</v>
      </c>
      <c r="C31" s="22" t="n">
        <f aca="false">1/(1+EXP(-k*A31))</f>
        <v>0.853209660198618</v>
      </c>
      <c r="D31" s="22" t="n">
        <f aca="false">1/(1+EXP(-k*(A31-home_advantage)))</f>
        <v>0.832018385133925</v>
      </c>
    </row>
    <row r="32" customFormat="false" ht="15" hidden="false" customHeight="false" outlineLevel="0" collapsed="false">
      <c r="A32" s="21" t="n">
        <v>24</v>
      </c>
      <c r="B32" s="22" t="n">
        <f aca="false">1/(1+EXP(-k*(A32+home_advantage)))</f>
        <v>0.888944033288592</v>
      </c>
      <c r="C32" s="22" t="n">
        <f aca="false">1/(1+EXP(-k*A32))</f>
        <v>0.872138433680919</v>
      </c>
      <c r="D32" s="22" t="n">
        <f aca="false">1/(1+EXP(-k*(A32-home_advantage)))</f>
        <v>0.853209660198618</v>
      </c>
    </row>
    <row r="33" customFormat="false" ht="15" hidden="false" customHeight="false" outlineLevel="0" collapsed="false">
      <c r="A33" s="21" t="n">
        <v>26</v>
      </c>
      <c r="B33" s="22" t="n">
        <f aca="false">1/(1+EXP(-k*(A33+home_advantage)))</f>
        <v>0.903784458289307</v>
      </c>
      <c r="C33" s="22" t="n">
        <f aca="false">1/(1+EXP(-k*A33))</f>
        <v>0.888944033288592</v>
      </c>
      <c r="D33" s="22" t="n">
        <f aca="false">1/(1+EXP(-k*(A33-home_advantage)))</f>
        <v>0.872138433680919</v>
      </c>
    </row>
    <row r="34" customFormat="false" ht="15" hidden="false" customHeight="false" outlineLevel="0" collapsed="false">
      <c r="A34" s="21" t="n">
        <v>28</v>
      </c>
      <c r="B34" s="22" t="n">
        <f aca="false">1/(1+EXP(-k*(A34+home_advantage)))</f>
        <v>0.916827303506078</v>
      </c>
      <c r="C34" s="22" t="n">
        <f aca="false">1/(1+EXP(-k*A34))</f>
        <v>0.903784458289307</v>
      </c>
      <c r="D34" s="22" t="n">
        <f aca="false">1/(1+EXP(-k*(A34-home_advantage)))</f>
        <v>0.888944033288592</v>
      </c>
    </row>
    <row r="35" customFormat="false" ht="15" hidden="false" customHeight="false" outlineLevel="0" collapsed="false">
      <c r="A35" s="21" t="n">
        <v>30</v>
      </c>
      <c r="B35" s="22" t="n">
        <f aca="false">1/(1+EXP(-k*(A35+home_advantage)))</f>
        <v>0.928242457736249</v>
      </c>
      <c r="C35" s="22" t="n">
        <f aca="false">1/(1+EXP(-k*A35))</f>
        <v>0.916827303506078</v>
      </c>
      <c r="D35" s="22" t="n">
        <f aca="false">1/(1+EXP(-k*(A35-home_advantage)))</f>
        <v>0.903784458289307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6" min="25" style="0" width="16"/>
    <col collapsed="false" customWidth="true" hidden="false" outlineLevel="0" max="27" min="27" style="0" width="25"/>
    <col collapsed="false" customWidth="true" hidden="false" outlineLevel="0" max="28" min="28" style="0" width="15"/>
    <col collapsed="false" customWidth="true" hidden="false" outlineLevel="0" max="29" min="29" style="0" width="19"/>
    <col collapsed="false" customWidth="true" hidden="false" outlineLevel="0" max="30" min="30" style="0" width="17"/>
  </cols>
  <sheetData>
    <row r="1" customFormat="false" ht="26.85" hidden="false" customHeight="false" outlineLevel="0" collapsed="false">
      <c r="A1" s="7" t="s">
        <v>81</v>
      </c>
      <c r="B1" s="7" t="s">
        <v>88</v>
      </c>
      <c r="C1" s="7" t="s">
        <v>94</v>
      </c>
      <c r="D1" s="7" t="s">
        <v>98</v>
      </c>
      <c r="E1" s="7" t="s">
        <v>103</v>
      </c>
      <c r="F1" s="7" t="s">
        <v>108</v>
      </c>
      <c r="G1" s="7" t="s">
        <v>112</v>
      </c>
      <c r="H1" s="7" t="s">
        <v>116</v>
      </c>
      <c r="I1" s="7" t="s">
        <v>122</v>
      </c>
      <c r="J1" s="7" t="s">
        <v>127</v>
      </c>
      <c r="K1" s="7" t="s">
        <v>133</v>
      </c>
      <c r="L1" s="7" t="s">
        <v>139</v>
      </c>
      <c r="M1" s="7" t="s">
        <v>144</v>
      </c>
      <c r="N1" s="7" t="s">
        <v>150</v>
      </c>
      <c r="O1" s="7" t="s">
        <v>157</v>
      </c>
      <c r="P1" s="7" t="s">
        <v>163</v>
      </c>
      <c r="Q1" s="7" t="s">
        <v>168</v>
      </c>
      <c r="R1" s="7" t="s">
        <v>171</v>
      </c>
      <c r="S1" s="7" t="s">
        <v>174</v>
      </c>
      <c r="T1" s="7" t="s">
        <v>12</v>
      </c>
      <c r="U1" s="7" t="s">
        <v>183</v>
      </c>
      <c r="V1" s="7" t="s">
        <v>188</v>
      </c>
      <c r="W1" s="7" t="s">
        <v>190</v>
      </c>
      <c r="X1" s="7" t="s">
        <v>193</v>
      </c>
      <c r="Y1" s="7" t="s">
        <v>198</v>
      </c>
      <c r="Z1" s="7" t="s">
        <v>201</v>
      </c>
      <c r="AA1" s="7" t="s">
        <v>206</v>
      </c>
      <c r="AB1" s="7" t="s">
        <v>211</v>
      </c>
      <c r="AC1" s="7" t="s">
        <v>215</v>
      </c>
      <c r="AD1" s="7" t="s">
        <v>217</v>
      </c>
    </row>
    <row r="2" customFormat="false" ht="15" hidden="false" customHeight="false" outlineLevel="0" collapsed="false">
      <c r="A2" s="2" t="s">
        <v>84</v>
      </c>
      <c r="B2" s="2" t="s">
        <v>90</v>
      </c>
      <c r="C2" s="2" t="s">
        <v>95</v>
      </c>
      <c r="D2" s="2" t="n">
        <v>42</v>
      </c>
      <c r="E2" s="2" t="s">
        <v>104</v>
      </c>
      <c r="F2" s="2" t="n">
        <v>1</v>
      </c>
      <c r="G2" s="2" t="s">
        <v>113</v>
      </c>
      <c r="H2" s="2" t="s">
        <v>478</v>
      </c>
      <c r="I2" s="2" t="s">
        <v>123</v>
      </c>
      <c r="J2" s="2" t="s">
        <v>479</v>
      </c>
      <c r="K2" s="2" t="s">
        <v>341</v>
      </c>
      <c r="L2" s="2" t="s">
        <v>140</v>
      </c>
      <c r="M2" s="23" t="b">
        <f aca="false">FALSE()</f>
        <v>0</v>
      </c>
      <c r="N2" s="2"/>
      <c r="O2" s="2" t="s">
        <v>158</v>
      </c>
      <c r="P2" s="2" t="s">
        <v>164</v>
      </c>
      <c r="Q2" s="2" t="s">
        <v>362</v>
      </c>
      <c r="R2" s="2" t="s">
        <v>172</v>
      </c>
      <c r="S2" s="2" t="s">
        <v>175</v>
      </c>
      <c r="T2" s="2" t="s">
        <v>178</v>
      </c>
      <c r="U2" s="2" t="n">
        <v>32</v>
      </c>
      <c r="V2" s="2" t="n">
        <v>25</v>
      </c>
      <c r="W2" s="2" t="n">
        <v>7</v>
      </c>
      <c r="X2" s="2" t="n">
        <v>1</v>
      </c>
      <c r="Y2" s="2" t="n">
        <v>0</v>
      </c>
      <c r="Z2" s="2" t="n">
        <v>1</v>
      </c>
      <c r="AA2" s="2" t="n">
        <v>2</v>
      </c>
      <c r="AB2" s="2" t="n">
        <v>83.18</v>
      </c>
      <c r="AC2" s="2" t="n">
        <v>70.69</v>
      </c>
      <c r="AD2" s="2" t="n">
        <v>0.7612</v>
      </c>
    </row>
    <row r="3" customFormat="false" ht="15" hidden="false" customHeight="false" outlineLevel="0" collapsed="false">
      <c r="A3" s="2" t="s">
        <v>84</v>
      </c>
      <c r="B3" s="2" t="s">
        <v>90</v>
      </c>
      <c r="C3" s="2" t="s">
        <v>95</v>
      </c>
      <c r="D3" s="2" t="n">
        <v>42</v>
      </c>
      <c r="E3" s="2" t="s">
        <v>104</v>
      </c>
      <c r="F3" s="2" t="n">
        <v>1</v>
      </c>
      <c r="G3" s="2" t="s">
        <v>113</v>
      </c>
      <c r="H3" s="2" t="s">
        <v>480</v>
      </c>
      <c r="I3" s="2" t="s">
        <v>123</v>
      </c>
      <c r="J3" s="2" t="s">
        <v>479</v>
      </c>
      <c r="K3" s="2" t="s">
        <v>362</v>
      </c>
      <c r="L3" s="2" t="s">
        <v>172</v>
      </c>
      <c r="M3" s="23" t="b">
        <f aca="false">TRUE()</f>
        <v>1</v>
      </c>
      <c r="N3" s="2" t="s">
        <v>152</v>
      </c>
      <c r="O3" s="2" t="s">
        <v>158</v>
      </c>
      <c r="P3" s="2" t="s">
        <v>236</v>
      </c>
      <c r="Q3" s="2" t="s">
        <v>341</v>
      </c>
      <c r="R3" s="2" t="s">
        <v>140</v>
      </c>
      <c r="S3" s="2" t="s">
        <v>481</v>
      </c>
      <c r="T3" s="2" t="s">
        <v>482</v>
      </c>
      <c r="U3" s="2" t="n">
        <v>25</v>
      </c>
      <c r="V3" s="2" t="n">
        <v>32</v>
      </c>
      <c r="W3" s="2" t="n">
        <v>-7</v>
      </c>
      <c r="X3" s="2" t="n">
        <v>0</v>
      </c>
      <c r="Y3" s="2" t="n">
        <v>1</v>
      </c>
      <c r="Z3" s="2" t="n">
        <v>-1</v>
      </c>
      <c r="AA3" s="2" t="n">
        <v>0</v>
      </c>
      <c r="AB3" s="2" t="n">
        <v>70.69</v>
      </c>
      <c r="AC3" s="2" t="n">
        <v>83.18</v>
      </c>
      <c r="AD3" s="2" t="n">
        <v>0.2388</v>
      </c>
    </row>
    <row r="4" customFormat="false" ht="15" hidden="false" customHeight="false" outlineLevel="0" collapsed="false">
      <c r="A4" s="2" t="s">
        <v>84</v>
      </c>
      <c r="B4" s="2" t="s">
        <v>90</v>
      </c>
      <c r="C4" s="2" t="s">
        <v>95</v>
      </c>
      <c r="D4" s="2" t="n">
        <v>42</v>
      </c>
      <c r="E4" s="2" t="s">
        <v>104</v>
      </c>
      <c r="F4" s="2" t="n">
        <v>1</v>
      </c>
      <c r="G4" s="2" t="s">
        <v>483</v>
      </c>
      <c r="H4" s="2" t="s">
        <v>484</v>
      </c>
      <c r="I4" s="2" t="s">
        <v>123</v>
      </c>
      <c r="J4" s="2" t="s">
        <v>479</v>
      </c>
      <c r="K4" s="2" t="s">
        <v>360</v>
      </c>
      <c r="L4" s="2" t="s">
        <v>361</v>
      </c>
      <c r="M4" s="23" t="b">
        <f aca="false">FALSE()</f>
        <v>0</v>
      </c>
      <c r="N4" s="2"/>
      <c r="O4" s="2" t="s">
        <v>158</v>
      </c>
      <c r="P4" s="2" t="s">
        <v>236</v>
      </c>
      <c r="Q4" s="2" t="s">
        <v>342</v>
      </c>
      <c r="R4" s="2" t="s">
        <v>343</v>
      </c>
      <c r="S4" s="2" t="s">
        <v>175</v>
      </c>
      <c r="T4" s="2" t="s">
        <v>178</v>
      </c>
      <c r="U4" s="2" t="n">
        <v>25</v>
      </c>
      <c r="V4" s="2" t="n">
        <v>19</v>
      </c>
      <c r="W4" s="2" t="n">
        <v>6</v>
      </c>
      <c r="X4" s="2" t="n">
        <v>1</v>
      </c>
      <c r="Y4" s="2" t="n">
        <v>0</v>
      </c>
      <c r="Z4" s="2" t="n">
        <v>1</v>
      </c>
      <c r="AA4" s="2" t="n">
        <v>2</v>
      </c>
      <c r="AB4" s="2" t="n">
        <v>58.14</v>
      </c>
      <c r="AC4" s="2" t="n">
        <v>69.16</v>
      </c>
      <c r="AD4" s="2" t="n">
        <v>0.3271</v>
      </c>
    </row>
    <row r="5" customFormat="false" ht="15" hidden="false" customHeight="false" outlineLevel="0" collapsed="false">
      <c r="A5" s="2" t="s">
        <v>84</v>
      </c>
      <c r="B5" s="2" t="s">
        <v>90</v>
      </c>
      <c r="C5" s="2" t="s">
        <v>95</v>
      </c>
      <c r="D5" s="2" t="n">
        <v>42</v>
      </c>
      <c r="E5" s="2" t="s">
        <v>104</v>
      </c>
      <c r="F5" s="2" t="n">
        <v>1</v>
      </c>
      <c r="G5" s="2" t="s">
        <v>483</v>
      </c>
      <c r="H5" s="2" t="s">
        <v>485</v>
      </c>
      <c r="I5" s="2" t="s">
        <v>123</v>
      </c>
      <c r="J5" s="2" t="s">
        <v>479</v>
      </c>
      <c r="K5" s="2" t="s">
        <v>342</v>
      </c>
      <c r="L5" s="2" t="s">
        <v>343</v>
      </c>
      <c r="M5" s="23" t="b">
        <f aca="false">FALSE()</f>
        <v>0</v>
      </c>
      <c r="N5" s="2"/>
      <c r="O5" s="2" t="s">
        <v>158</v>
      </c>
      <c r="P5" s="2" t="s">
        <v>164</v>
      </c>
      <c r="Q5" s="2" t="s">
        <v>360</v>
      </c>
      <c r="R5" s="2" t="s">
        <v>361</v>
      </c>
      <c r="S5" s="2" t="s">
        <v>481</v>
      </c>
      <c r="T5" s="2" t="s">
        <v>482</v>
      </c>
      <c r="U5" s="2" t="n">
        <v>19</v>
      </c>
      <c r="V5" s="2" t="n">
        <v>25</v>
      </c>
      <c r="W5" s="2" t="n">
        <v>-6</v>
      </c>
      <c r="X5" s="2" t="n">
        <v>0</v>
      </c>
      <c r="Y5" s="2" t="n">
        <v>1</v>
      </c>
      <c r="Z5" s="2" t="n">
        <v>-1</v>
      </c>
      <c r="AA5" s="2" t="n">
        <v>0</v>
      </c>
      <c r="AB5" s="2" t="n">
        <v>69.16</v>
      </c>
      <c r="AC5" s="2" t="n">
        <v>58.14</v>
      </c>
      <c r="AD5" s="2" t="n">
        <v>0.6729</v>
      </c>
    </row>
    <row r="6" customFormat="false" ht="15" hidden="false" customHeight="false" outlineLevel="0" collapsed="false">
      <c r="A6" s="2" t="s">
        <v>84</v>
      </c>
      <c r="B6" s="2" t="s">
        <v>90</v>
      </c>
      <c r="C6" s="2" t="s">
        <v>95</v>
      </c>
      <c r="D6" s="2" t="n">
        <v>42</v>
      </c>
      <c r="E6" s="2" t="s">
        <v>104</v>
      </c>
      <c r="F6" s="2" t="n">
        <v>1</v>
      </c>
      <c r="G6" s="2" t="s">
        <v>486</v>
      </c>
      <c r="H6" s="2" t="s">
        <v>487</v>
      </c>
      <c r="I6" s="2" t="s">
        <v>123</v>
      </c>
      <c r="J6" s="2" t="s">
        <v>479</v>
      </c>
      <c r="K6" s="2" t="s">
        <v>344</v>
      </c>
      <c r="L6" s="2" t="s">
        <v>345</v>
      </c>
      <c r="M6" s="23" t="b">
        <f aca="false">FALSE()</f>
        <v>0</v>
      </c>
      <c r="N6" s="2"/>
      <c r="O6" s="2" t="s">
        <v>158</v>
      </c>
      <c r="P6" s="2" t="s">
        <v>164</v>
      </c>
      <c r="Q6" s="2" t="s">
        <v>358</v>
      </c>
      <c r="R6" s="2" t="s">
        <v>359</v>
      </c>
      <c r="S6" s="2" t="s">
        <v>175</v>
      </c>
      <c r="T6" s="2" t="s">
        <v>482</v>
      </c>
      <c r="U6" s="2" t="n">
        <v>25</v>
      </c>
      <c r="V6" s="2" t="n">
        <v>33</v>
      </c>
      <c r="W6" s="2" t="n">
        <v>-8</v>
      </c>
      <c r="X6" s="2" t="n">
        <v>0</v>
      </c>
      <c r="Y6" s="2" t="n">
        <v>1</v>
      </c>
      <c r="Z6" s="2" t="n">
        <v>-1</v>
      </c>
      <c r="AA6" s="2" t="n">
        <v>0</v>
      </c>
      <c r="AB6" s="2" t="n">
        <v>63.04</v>
      </c>
      <c r="AC6" s="2" t="n">
        <v>65.53</v>
      </c>
      <c r="AD6" s="2" t="n">
        <v>0.4902</v>
      </c>
    </row>
    <row r="7" customFormat="false" ht="15" hidden="false" customHeight="false" outlineLevel="0" collapsed="false">
      <c r="A7" s="2" t="s">
        <v>84</v>
      </c>
      <c r="B7" s="2" t="s">
        <v>90</v>
      </c>
      <c r="C7" s="2" t="s">
        <v>95</v>
      </c>
      <c r="D7" s="2" t="n">
        <v>42</v>
      </c>
      <c r="E7" s="2" t="s">
        <v>104</v>
      </c>
      <c r="F7" s="2" t="n">
        <v>1</v>
      </c>
      <c r="G7" s="2" t="s">
        <v>486</v>
      </c>
      <c r="H7" s="2" t="s">
        <v>488</v>
      </c>
      <c r="I7" s="2" t="s">
        <v>123</v>
      </c>
      <c r="J7" s="2" t="s">
        <v>479</v>
      </c>
      <c r="K7" s="2" t="s">
        <v>358</v>
      </c>
      <c r="L7" s="2" t="s">
        <v>359</v>
      </c>
      <c r="M7" s="23" t="b">
        <f aca="false">FALSE()</f>
        <v>0</v>
      </c>
      <c r="N7" s="2"/>
      <c r="O7" s="2" t="s">
        <v>158</v>
      </c>
      <c r="P7" s="2" t="s">
        <v>236</v>
      </c>
      <c r="Q7" s="2" t="s">
        <v>344</v>
      </c>
      <c r="R7" s="2" t="s">
        <v>345</v>
      </c>
      <c r="S7" s="2" t="s">
        <v>481</v>
      </c>
      <c r="T7" s="2" t="s">
        <v>178</v>
      </c>
      <c r="U7" s="2" t="n">
        <v>33</v>
      </c>
      <c r="V7" s="2" t="n">
        <v>25</v>
      </c>
      <c r="W7" s="2" t="n">
        <v>8</v>
      </c>
      <c r="X7" s="2" t="n">
        <v>1</v>
      </c>
      <c r="Y7" s="2" t="n">
        <v>0</v>
      </c>
      <c r="Z7" s="2" t="n">
        <v>1</v>
      </c>
      <c r="AA7" s="2" t="n">
        <v>2</v>
      </c>
      <c r="AB7" s="2" t="n">
        <v>65.53</v>
      </c>
      <c r="AC7" s="2" t="n">
        <v>63.04</v>
      </c>
      <c r="AD7" s="2" t="n">
        <v>0.5098</v>
      </c>
    </row>
    <row r="8" customFormat="false" ht="15" hidden="false" customHeight="false" outlineLevel="0" collapsed="false">
      <c r="A8" s="2" t="s">
        <v>84</v>
      </c>
      <c r="B8" s="2" t="s">
        <v>90</v>
      </c>
      <c r="C8" s="2" t="s">
        <v>95</v>
      </c>
      <c r="D8" s="2" t="n">
        <v>42</v>
      </c>
      <c r="E8" s="2" t="s">
        <v>104</v>
      </c>
      <c r="F8" s="2" t="n">
        <v>1</v>
      </c>
      <c r="G8" s="2" t="s">
        <v>489</v>
      </c>
      <c r="H8" s="2" t="s">
        <v>490</v>
      </c>
      <c r="I8" s="2" t="s">
        <v>123</v>
      </c>
      <c r="J8" s="2" t="s">
        <v>479</v>
      </c>
      <c r="K8" s="2" t="s">
        <v>356</v>
      </c>
      <c r="L8" s="2" t="s">
        <v>357</v>
      </c>
      <c r="M8" s="23" t="b">
        <f aca="false">FALSE()</f>
        <v>0</v>
      </c>
      <c r="N8" s="2"/>
      <c r="O8" s="2" t="s">
        <v>158</v>
      </c>
      <c r="P8" s="2" t="s">
        <v>236</v>
      </c>
      <c r="Q8" s="2" t="s">
        <v>346</v>
      </c>
      <c r="R8" s="2" t="s">
        <v>347</v>
      </c>
      <c r="S8" s="2" t="s">
        <v>175</v>
      </c>
      <c r="T8" s="2" t="s">
        <v>178</v>
      </c>
      <c r="U8" s="2" t="n">
        <v>35</v>
      </c>
      <c r="V8" s="2" t="n">
        <v>21</v>
      </c>
      <c r="W8" s="2" t="n">
        <v>14</v>
      </c>
      <c r="X8" s="2" t="n">
        <v>1</v>
      </c>
      <c r="Y8" s="2" t="n">
        <v>0</v>
      </c>
      <c r="Z8" s="2" t="n">
        <v>1</v>
      </c>
      <c r="AA8" s="2" t="n">
        <v>2</v>
      </c>
      <c r="AB8" s="2" t="n">
        <v>68.39</v>
      </c>
      <c r="AC8" s="2" t="n">
        <v>76.13</v>
      </c>
      <c r="AD8" s="2" t="n">
        <v>0.3871</v>
      </c>
    </row>
    <row r="9" customFormat="false" ht="15" hidden="false" customHeight="false" outlineLevel="0" collapsed="false">
      <c r="A9" s="2" t="s">
        <v>84</v>
      </c>
      <c r="B9" s="2" t="s">
        <v>90</v>
      </c>
      <c r="C9" s="2" t="s">
        <v>95</v>
      </c>
      <c r="D9" s="2" t="n">
        <v>42</v>
      </c>
      <c r="E9" s="2" t="s">
        <v>104</v>
      </c>
      <c r="F9" s="2" t="n">
        <v>1</v>
      </c>
      <c r="G9" s="2" t="s">
        <v>489</v>
      </c>
      <c r="H9" s="2" t="s">
        <v>491</v>
      </c>
      <c r="I9" s="2" t="s">
        <v>123</v>
      </c>
      <c r="J9" s="2" t="s">
        <v>479</v>
      </c>
      <c r="K9" s="2" t="s">
        <v>346</v>
      </c>
      <c r="L9" s="2" t="s">
        <v>347</v>
      </c>
      <c r="M9" s="23" t="b">
        <f aca="false">FALSE()</f>
        <v>0</v>
      </c>
      <c r="N9" s="2"/>
      <c r="O9" s="2" t="s">
        <v>158</v>
      </c>
      <c r="P9" s="2" t="s">
        <v>164</v>
      </c>
      <c r="Q9" s="2" t="s">
        <v>356</v>
      </c>
      <c r="R9" s="2" t="s">
        <v>357</v>
      </c>
      <c r="S9" s="2" t="s">
        <v>481</v>
      </c>
      <c r="T9" s="2" t="s">
        <v>482</v>
      </c>
      <c r="U9" s="2" t="n">
        <v>21</v>
      </c>
      <c r="V9" s="2" t="n">
        <v>35</v>
      </c>
      <c r="W9" s="2" t="n">
        <v>-14</v>
      </c>
      <c r="X9" s="2" t="n">
        <v>0</v>
      </c>
      <c r="Y9" s="2" t="n">
        <v>1</v>
      </c>
      <c r="Z9" s="2" t="n">
        <v>-1</v>
      </c>
      <c r="AA9" s="2" t="n">
        <v>0</v>
      </c>
      <c r="AB9" s="2" t="n">
        <v>76.13</v>
      </c>
      <c r="AC9" s="2" t="n">
        <v>68.39</v>
      </c>
      <c r="AD9" s="2" t="n">
        <v>0.6129</v>
      </c>
    </row>
    <row r="10" customFormat="false" ht="15" hidden="false" customHeight="false" outlineLevel="0" collapsed="false">
      <c r="A10" s="2" t="s">
        <v>84</v>
      </c>
      <c r="B10" s="2" t="s">
        <v>90</v>
      </c>
      <c r="C10" s="2" t="s">
        <v>95</v>
      </c>
      <c r="D10" s="2" t="n">
        <v>42</v>
      </c>
      <c r="E10" s="2" t="s">
        <v>104</v>
      </c>
      <c r="F10" s="2" t="n">
        <v>1</v>
      </c>
      <c r="G10" s="2" t="s">
        <v>492</v>
      </c>
      <c r="H10" s="2" t="s">
        <v>493</v>
      </c>
      <c r="I10" s="2" t="s">
        <v>123</v>
      </c>
      <c r="J10" s="2" t="s">
        <v>479</v>
      </c>
      <c r="K10" s="2" t="s">
        <v>348</v>
      </c>
      <c r="L10" s="2" t="s">
        <v>349</v>
      </c>
      <c r="M10" s="23" t="b">
        <f aca="false">FALSE()</f>
        <v>0</v>
      </c>
      <c r="N10" s="2"/>
      <c r="O10" s="2" t="s">
        <v>158</v>
      </c>
      <c r="P10" s="2" t="s">
        <v>164</v>
      </c>
      <c r="Q10" s="2" t="s">
        <v>354</v>
      </c>
      <c r="R10" s="2" t="s">
        <v>355</v>
      </c>
      <c r="S10" s="2" t="s">
        <v>175</v>
      </c>
      <c r="T10" s="2" t="s">
        <v>178</v>
      </c>
      <c r="U10" s="2" t="n">
        <v>37</v>
      </c>
      <c r="V10" s="2" t="n">
        <v>23</v>
      </c>
      <c r="W10" s="2" t="n">
        <v>14</v>
      </c>
      <c r="X10" s="2" t="n">
        <v>1</v>
      </c>
      <c r="Y10" s="2" t="n">
        <v>0</v>
      </c>
      <c r="Z10" s="2" t="n">
        <v>1</v>
      </c>
      <c r="AA10" s="2" t="n">
        <v>2</v>
      </c>
      <c r="AB10" s="2" t="n">
        <v>73.44</v>
      </c>
      <c r="AC10" s="2" t="n">
        <v>71.54</v>
      </c>
      <c r="AD10" s="2" t="n">
        <v>0.5775</v>
      </c>
    </row>
    <row r="11" customFormat="false" ht="15" hidden="false" customHeight="false" outlineLevel="0" collapsed="false">
      <c r="A11" s="2" t="s">
        <v>84</v>
      </c>
      <c r="B11" s="2" t="s">
        <v>90</v>
      </c>
      <c r="C11" s="2" t="s">
        <v>95</v>
      </c>
      <c r="D11" s="2" t="n">
        <v>42</v>
      </c>
      <c r="E11" s="2" t="s">
        <v>104</v>
      </c>
      <c r="F11" s="2" t="n">
        <v>1</v>
      </c>
      <c r="G11" s="2" t="s">
        <v>492</v>
      </c>
      <c r="H11" s="2" t="s">
        <v>494</v>
      </c>
      <c r="I11" s="2" t="s">
        <v>123</v>
      </c>
      <c r="J11" s="2" t="s">
        <v>479</v>
      </c>
      <c r="K11" s="2" t="s">
        <v>354</v>
      </c>
      <c r="L11" s="2" t="s">
        <v>355</v>
      </c>
      <c r="M11" s="23" t="b">
        <f aca="false">FALSE()</f>
        <v>0</v>
      </c>
      <c r="N11" s="2"/>
      <c r="O11" s="2" t="s">
        <v>158</v>
      </c>
      <c r="P11" s="2" t="s">
        <v>236</v>
      </c>
      <c r="Q11" s="2" t="s">
        <v>348</v>
      </c>
      <c r="R11" s="2" t="s">
        <v>349</v>
      </c>
      <c r="S11" s="2" t="s">
        <v>481</v>
      </c>
      <c r="T11" s="2" t="s">
        <v>482</v>
      </c>
      <c r="U11" s="2" t="n">
        <v>23</v>
      </c>
      <c r="V11" s="2" t="n">
        <v>37</v>
      </c>
      <c r="W11" s="2" t="n">
        <v>-14</v>
      </c>
      <c r="X11" s="2" t="n">
        <v>0</v>
      </c>
      <c r="Y11" s="2" t="n">
        <v>1</v>
      </c>
      <c r="Z11" s="2" t="n">
        <v>-1</v>
      </c>
      <c r="AA11" s="2" t="n">
        <v>0</v>
      </c>
      <c r="AB11" s="2" t="n">
        <v>71.54</v>
      </c>
      <c r="AC11" s="2" t="n">
        <v>73.44</v>
      </c>
      <c r="AD11" s="2" t="n">
        <v>0.4225</v>
      </c>
    </row>
    <row r="12" customFormat="false" ht="15" hidden="false" customHeight="false" outlineLevel="0" collapsed="false">
      <c r="A12" s="2" t="s">
        <v>84</v>
      </c>
      <c r="B12" s="2" t="s">
        <v>90</v>
      </c>
      <c r="C12" s="2" t="s">
        <v>95</v>
      </c>
      <c r="D12" s="2" t="n">
        <v>42</v>
      </c>
      <c r="E12" s="2" t="s">
        <v>104</v>
      </c>
      <c r="F12" s="2" t="n">
        <v>1</v>
      </c>
      <c r="G12" s="2" t="s">
        <v>495</v>
      </c>
      <c r="H12" s="2" t="s">
        <v>496</v>
      </c>
      <c r="I12" s="2" t="s">
        <v>123</v>
      </c>
      <c r="J12" s="2" t="s">
        <v>479</v>
      </c>
      <c r="K12" s="2" t="s">
        <v>352</v>
      </c>
      <c r="L12" s="2" t="s">
        <v>353</v>
      </c>
      <c r="M12" s="23" t="b">
        <f aca="false">FALSE()</f>
        <v>0</v>
      </c>
      <c r="N12" s="2"/>
      <c r="O12" s="2" t="s">
        <v>158</v>
      </c>
      <c r="P12" s="2" t="s">
        <v>236</v>
      </c>
      <c r="Q12" s="2" t="s">
        <v>350</v>
      </c>
      <c r="R12" s="2" t="s">
        <v>351</v>
      </c>
      <c r="S12" s="2" t="s">
        <v>175</v>
      </c>
      <c r="T12" s="2" t="s">
        <v>178</v>
      </c>
      <c r="U12" s="2" t="n">
        <v>37</v>
      </c>
      <c r="V12" s="2" t="n">
        <v>21</v>
      </c>
      <c r="W12" s="2" t="n">
        <v>16</v>
      </c>
      <c r="X12" s="2" t="n">
        <v>1</v>
      </c>
      <c r="Y12" s="2" t="n">
        <v>0</v>
      </c>
      <c r="Z12" s="2" t="n">
        <v>1</v>
      </c>
      <c r="AA12" s="2" t="n">
        <v>2</v>
      </c>
      <c r="AB12" s="2" t="n">
        <v>76.32</v>
      </c>
      <c r="AC12" s="2" t="n">
        <v>66.15</v>
      </c>
      <c r="AD12" s="2" t="n">
        <v>0.7258</v>
      </c>
    </row>
    <row r="13" customFormat="false" ht="15" hidden="false" customHeight="false" outlineLevel="0" collapsed="false">
      <c r="A13" s="2" t="s">
        <v>84</v>
      </c>
      <c r="B13" s="2" t="s">
        <v>90</v>
      </c>
      <c r="C13" s="2" t="s">
        <v>95</v>
      </c>
      <c r="D13" s="2" t="n">
        <v>42</v>
      </c>
      <c r="E13" s="2" t="s">
        <v>104</v>
      </c>
      <c r="F13" s="2" t="n">
        <v>1</v>
      </c>
      <c r="G13" s="2" t="s">
        <v>495</v>
      </c>
      <c r="H13" s="2" t="s">
        <v>497</v>
      </c>
      <c r="I13" s="2" t="s">
        <v>123</v>
      </c>
      <c r="J13" s="2" t="s">
        <v>479</v>
      </c>
      <c r="K13" s="2" t="s">
        <v>350</v>
      </c>
      <c r="L13" s="2" t="s">
        <v>351</v>
      </c>
      <c r="M13" s="23" t="b">
        <f aca="false">FALSE()</f>
        <v>0</v>
      </c>
      <c r="N13" s="2"/>
      <c r="O13" s="2" t="s">
        <v>158</v>
      </c>
      <c r="P13" s="2" t="s">
        <v>164</v>
      </c>
      <c r="Q13" s="2" t="s">
        <v>352</v>
      </c>
      <c r="R13" s="2" t="s">
        <v>353</v>
      </c>
      <c r="S13" s="2" t="s">
        <v>481</v>
      </c>
      <c r="T13" s="2" t="s">
        <v>482</v>
      </c>
      <c r="U13" s="2" t="n">
        <v>21</v>
      </c>
      <c r="V13" s="2" t="n">
        <v>37</v>
      </c>
      <c r="W13" s="2" t="n">
        <v>-16</v>
      </c>
      <c r="X13" s="2" t="n">
        <v>0</v>
      </c>
      <c r="Y13" s="2" t="n">
        <v>1</v>
      </c>
      <c r="Z13" s="2" t="n">
        <v>-1</v>
      </c>
      <c r="AA13" s="2" t="n">
        <v>0</v>
      </c>
      <c r="AB13" s="2" t="n">
        <v>66.15</v>
      </c>
      <c r="AC13" s="2" t="n">
        <v>76.32</v>
      </c>
      <c r="AD13" s="2" t="n">
        <v>0.2742</v>
      </c>
    </row>
    <row r="14" customFormat="false" ht="15" hidden="false" customHeight="false" outlineLevel="0" collapsed="false">
      <c r="A14" s="2" t="s">
        <v>84</v>
      </c>
      <c r="B14" s="2" t="s">
        <v>90</v>
      </c>
      <c r="C14" s="2" t="s">
        <v>95</v>
      </c>
      <c r="D14" s="2" t="n">
        <v>42</v>
      </c>
      <c r="E14" s="2" t="s">
        <v>104</v>
      </c>
      <c r="F14" s="2" t="n">
        <v>2</v>
      </c>
      <c r="G14" s="2" t="s">
        <v>498</v>
      </c>
      <c r="H14" s="2" t="s">
        <v>499</v>
      </c>
      <c r="I14" s="2" t="s">
        <v>123</v>
      </c>
      <c r="J14" s="2" t="s">
        <v>500</v>
      </c>
      <c r="K14" s="2" t="s">
        <v>360</v>
      </c>
      <c r="L14" s="2" t="s">
        <v>361</v>
      </c>
      <c r="M14" s="23" t="b">
        <f aca="false">FALSE()</f>
        <v>0</v>
      </c>
      <c r="N14" s="2"/>
      <c r="O14" s="2" t="s">
        <v>158</v>
      </c>
      <c r="P14" s="2" t="s">
        <v>236</v>
      </c>
      <c r="Q14" s="2" t="s">
        <v>341</v>
      </c>
      <c r="R14" s="2" t="s">
        <v>140</v>
      </c>
      <c r="S14" s="2" t="s">
        <v>175</v>
      </c>
      <c r="T14" s="2" t="s">
        <v>482</v>
      </c>
      <c r="U14" s="2" t="n">
        <v>31</v>
      </c>
      <c r="V14" s="2" t="n">
        <v>41</v>
      </c>
      <c r="W14" s="2" t="n">
        <v>-10</v>
      </c>
      <c r="X14" s="2" t="n">
        <v>1</v>
      </c>
      <c r="Y14" s="2" t="n">
        <v>1</v>
      </c>
      <c r="Z14" s="2" t="n">
        <v>-1</v>
      </c>
      <c r="AA14" s="2" t="n">
        <v>2</v>
      </c>
      <c r="AB14" s="2" t="n">
        <v>58.14</v>
      </c>
      <c r="AC14" s="2" t="n">
        <v>83.18</v>
      </c>
      <c r="AD14" s="2" t="n">
        <v>0.1367</v>
      </c>
    </row>
    <row r="15" customFormat="false" ht="15" hidden="false" customHeight="false" outlineLevel="0" collapsed="false">
      <c r="A15" s="2" t="s">
        <v>84</v>
      </c>
      <c r="B15" s="2" t="s">
        <v>90</v>
      </c>
      <c r="C15" s="2" t="s">
        <v>95</v>
      </c>
      <c r="D15" s="2" t="n">
        <v>42</v>
      </c>
      <c r="E15" s="2" t="s">
        <v>104</v>
      </c>
      <c r="F15" s="2" t="n">
        <v>2</v>
      </c>
      <c r="G15" s="2" t="s">
        <v>498</v>
      </c>
      <c r="H15" s="2" t="s">
        <v>501</v>
      </c>
      <c r="I15" s="2" t="s">
        <v>123</v>
      </c>
      <c r="J15" s="2" t="s">
        <v>500</v>
      </c>
      <c r="K15" s="2" t="s">
        <v>341</v>
      </c>
      <c r="L15" s="2" t="s">
        <v>140</v>
      </c>
      <c r="M15" s="23" t="b">
        <f aca="false">FALSE()</f>
        <v>0</v>
      </c>
      <c r="N15" s="2"/>
      <c r="O15" s="2" t="s">
        <v>158</v>
      </c>
      <c r="P15" s="2" t="s">
        <v>164</v>
      </c>
      <c r="Q15" s="2" t="s">
        <v>360</v>
      </c>
      <c r="R15" s="2" t="s">
        <v>361</v>
      </c>
      <c r="S15" s="2" t="s">
        <v>481</v>
      </c>
      <c r="T15" s="2" t="s">
        <v>178</v>
      </c>
      <c r="U15" s="2" t="n">
        <v>41</v>
      </c>
      <c r="V15" s="2" t="n">
        <v>31</v>
      </c>
      <c r="W15" s="2" t="n">
        <v>10</v>
      </c>
      <c r="X15" s="2" t="n">
        <v>2</v>
      </c>
      <c r="Y15" s="2" t="n">
        <v>0</v>
      </c>
      <c r="Z15" s="2" t="n">
        <v>2</v>
      </c>
      <c r="AA15" s="2" t="n">
        <v>4</v>
      </c>
      <c r="AB15" s="2" t="n">
        <v>83.18</v>
      </c>
      <c r="AC15" s="2" t="n">
        <v>58.14</v>
      </c>
      <c r="AD15" s="2" t="n">
        <v>0.8633</v>
      </c>
    </row>
    <row r="16" customFormat="false" ht="15" hidden="false" customHeight="false" outlineLevel="0" collapsed="false">
      <c r="A16" s="2" t="s">
        <v>84</v>
      </c>
      <c r="B16" s="2" t="s">
        <v>90</v>
      </c>
      <c r="C16" s="2" t="s">
        <v>95</v>
      </c>
      <c r="D16" s="2" t="n">
        <v>42</v>
      </c>
      <c r="E16" s="2" t="s">
        <v>104</v>
      </c>
      <c r="F16" s="2" t="n">
        <v>2</v>
      </c>
      <c r="G16" s="2" t="s">
        <v>502</v>
      </c>
      <c r="H16" s="2" t="s">
        <v>503</v>
      </c>
      <c r="I16" s="2" t="s">
        <v>123</v>
      </c>
      <c r="J16" s="2" t="s">
        <v>500</v>
      </c>
      <c r="K16" s="2" t="s">
        <v>362</v>
      </c>
      <c r="L16" s="2" t="s">
        <v>172</v>
      </c>
      <c r="M16" s="23" t="b">
        <f aca="false">TRUE()</f>
        <v>1</v>
      </c>
      <c r="N16" s="2" t="s">
        <v>152</v>
      </c>
      <c r="O16" s="2" t="s">
        <v>158</v>
      </c>
      <c r="P16" s="2" t="s">
        <v>236</v>
      </c>
      <c r="Q16" s="2" t="s">
        <v>358</v>
      </c>
      <c r="R16" s="2" t="s">
        <v>359</v>
      </c>
      <c r="S16" s="2" t="s">
        <v>175</v>
      </c>
      <c r="T16" s="2" t="s">
        <v>482</v>
      </c>
      <c r="U16" s="2" t="n">
        <v>18</v>
      </c>
      <c r="V16" s="2" t="n">
        <v>26</v>
      </c>
      <c r="W16" s="2" t="n">
        <v>-8</v>
      </c>
      <c r="X16" s="2" t="n">
        <v>0</v>
      </c>
      <c r="Y16" s="2" t="n">
        <v>2</v>
      </c>
      <c r="Z16" s="2" t="n">
        <v>-2</v>
      </c>
      <c r="AA16" s="2" t="n">
        <v>0</v>
      </c>
      <c r="AB16" s="2" t="n">
        <v>70.69</v>
      </c>
      <c r="AC16" s="2" t="n">
        <v>65.53</v>
      </c>
      <c r="AD16" s="2" t="n">
        <v>0.6395</v>
      </c>
    </row>
    <row r="17" customFormat="false" ht="15" hidden="false" customHeight="false" outlineLevel="0" collapsed="false">
      <c r="A17" s="2" t="s">
        <v>84</v>
      </c>
      <c r="B17" s="2" t="s">
        <v>90</v>
      </c>
      <c r="C17" s="2" t="s">
        <v>95</v>
      </c>
      <c r="D17" s="2" t="n">
        <v>42</v>
      </c>
      <c r="E17" s="2" t="s">
        <v>104</v>
      </c>
      <c r="F17" s="2" t="n">
        <v>2</v>
      </c>
      <c r="G17" s="2" t="s">
        <v>502</v>
      </c>
      <c r="H17" s="2" t="s">
        <v>504</v>
      </c>
      <c r="I17" s="2" t="s">
        <v>123</v>
      </c>
      <c r="J17" s="2" t="s">
        <v>500</v>
      </c>
      <c r="K17" s="2" t="s">
        <v>358</v>
      </c>
      <c r="L17" s="2" t="s">
        <v>359</v>
      </c>
      <c r="M17" s="23" t="b">
        <f aca="false">FALSE()</f>
        <v>0</v>
      </c>
      <c r="N17" s="2"/>
      <c r="O17" s="2" t="s">
        <v>158</v>
      </c>
      <c r="P17" s="2" t="s">
        <v>236</v>
      </c>
      <c r="Q17" s="2" t="s">
        <v>362</v>
      </c>
      <c r="R17" s="2" t="s">
        <v>172</v>
      </c>
      <c r="S17" s="2" t="s">
        <v>481</v>
      </c>
      <c r="T17" s="2" t="s">
        <v>178</v>
      </c>
      <c r="U17" s="2" t="n">
        <v>26</v>
      </c>
      <c r="V17" s="2" t="n">
        <v>18</v>
      </c>
      <c r="W17" s="2" t="n">
        <v>8</v>
      </c>
      <c r="X17" s="2" t="n">
        <v>2</v>
      </c>
      <c r="Y17" s="2" t="n">
        <v>0</v>
      </c>
      <c r="Z17" s="2" t="n">
        <v>2</v>
      </c>
      <c r="AA17" s="2" t="n">
        <v>4</v>
      </c>
      <c r="AB17" s="2" t="n">
        <v>65.53</v>
      </c>
      <c r="AC17" s="2" t="n">
        <v>70.69</v>
      </c>
      <c r="AD17" s="2" t="n">
        <v>0.3605</v>
      </c>
    </row>
    <row r="18" customFormat="false" ht="15" hidden="false" customHeight="false" outlineLevel="0" collapsed="false">
      <c r="A18" s="2" t="s">
        <v>84</v>
      </c>
      <c r="B18" s="2" t="s">
        <v>90</v>
      </c>
      <c r="C18" s="2" t="s">
        <v>95</v>
      </c>
      <c r="D18" s="2" t="n">
        <v>42</v>
      </c>
      <c r="E18" s="2" t="s">
        <v>104</v>
      </c>
      <c r="F18" s="2" t="n">
        <v>2</v>
      </c>
      <c r="G18" s="2" t="s">
        <v>505</v>
      </c>
      <c r="H18" s="2" t="s">
        <v>506</v>
      </c>
      <c r="I18" s="2" t="s">
        <v>123</v>
      </c>
      <c r="J18" s="2" t="s">
        <v>500</v>
      </c>
      <c r="K18" s="2" t="s">
        <v>356</v>
      </c>
      <c r="L18" s="2" t="s">
        <v>357</v>
      </c>
      <c r="M18" s="23" t="b">
        <f aca="false">FALSE()</f>
        <v>0</v>
      </c>
      <c r="N18" s="2"/>
      <c r="O18" s="2" t="s">
        <v>158</v>
      </c>
      <c r="P18" s="2" t="s">
        <v>236</v>
      </c>
      <c r="Q18" s="2" t="s">
        <v>342</v>
      </c>
      <c r="R18" s="2" t="s">
        <v>343</v>
      </c>
      <c r="S18" s="2" t="s">
        <v>175</v>
      </c>
      <c r="T18" s="2" t="s">
        <v>482</v>
      </c>
      <c r="U18" s="2" t="n">
        <v>19</v>
      </c>
      <c r="V18" s="2" t="n">
        <v>25</v>
      </c>
      <c r="W18" s="2" t="n">
        <v>-6</v>
      </c>
      <c r="X18" s="2" t="n">
        <v>1</v>
      </c>
      <c r="Y18" s="2" t="n">
        <v>1</v>
      </c>
      <c r="Z18" s="2" t="n">
        <v>-1</v>
      </c>
      <c r="AA18" s="2" t="n">
        <v>2</v>
      </c>
      <c r="AB18" s="2" t="n">
        <v>68.39</v>
      </c>
      <c r="AC18" s="2" t="n">
        <v>69.16</v>
      </c>
      <c r="AD18" s="2" t="n">
        <v>0.5247</v>
      </c>
    </row>
    <row r="19" customFormat="false" ht="15" hidden="false" customHeight="false" outlineLevel="0" collapsed="false">
      <c r="A19" s="2" t="s">
        <v>84</v>
      </c>
      <c r="B19" s="2" t="s">
        <v>90</v>
      </c>
      <c r="C19" s="2" t="s">
        <v>95</v>
      </c>
      <c r="D19" s="2" t="n">
        <v>42</v>
      </c>
      <c r="E19" s="2" t="s">
        <v>104</v>
      </c>
      <c r="F19" s="2" t="n">
        <v>2</v>
      </c>
      <c r="G19" s="2" t="s">
        <v>505</v>
      </c>
      <c r="H19" s="2" t="s">
        <v>507</v>
      </c>
      <c r="I19" s="2" t="s">
        <v>123</v>
      </c>
      <c r="J19" s="2" t="s">
        <v>500</v>
      </c>
      <c r="K19" s="2" t="s">
        <v>342</v>
      </c>
      <c r="L19" s="2" t="s">
        <v>343</v>
      </c>
      <c r="M19" s="23" t="b">
        <f aca="false">FALSE()</f>
        <v>0</v>
      </c>
      <c r="N19" s="2"/>
      <c r="O19" s="2" t="s">
        <v>158</v>
      </c>
      <c r="P19" s="2" t="s">
        <v>164</v>
      </c>
      <c r="Q19" s="2" t="s">
        <v>356</v>
      </c>
      <c r="R19" s="2" t="s">
        <v>357</v>
      </c>
      <c r="S19" s="2" t="s">
        <v>481</v>
      </c>
      <c r="T19" s="2" t="s">
        <v>178</v>
      </c>
      <c r="U19" s="2" t="n">
        <v>25</v>
      </c>
      <c r="V19" s="2" t="n">
        <v>19</v>
      </c>
      <c r="W19" s="2" t="n">
        <v>6</v>
      </c>
      <c r="X19" s="2" t="n">
        <v>1</v>
      </c>
      <c r="Y19" s="2" t="n">
        <v>1</v>
      </c>
      <c r="Z19" s="2" t="n">
        <v>1</v>
      </c>
      <c r="AA19" s="2" t="n">
        <v>2</v>
      </c>
      <c r="AB19" s="2" t="n">
        <v>69.16</v>
      </c>
      <c r="AC19" s="2" t="n">
        <v>68.39</v>
      </c>
      <c r="AD19" s="2" t="n">
        <v>0.4753</v>
      </c>
    </row>
    <row r="20" customFormat="false" ht="15" hidden="false" customHeight="false" outlineLevel="0" collapsed="false">
      <c r="A20" s="2" t="s">
        <v>84</v>
      </c>
      <c r="B20" s="2" t="s">
        <v>90</v>
      </c>
      <c r="C20" s="2" t="s">
        <v>95</v>
      </c>
      <c r="D20" s="2" t="n">
        <v>42</v>
      </c>
      <c r="E20" s="2" t="s">
        <v>104</v>
      </c>
      <c r="F20" s="2" t="n">
        <v>2</v>
      </c>
      <c r="G20" s="2" t="s">
        <v>508</v>
      </c>
      <c r="H20" s="2" t="s">
        <v>509</v>
      </c>
      <c r="I20" s="2" t="s">
        <v>123</v>
      </c>
      <c r="J20" s="2" t="s">
        <v>500</v>
      </c>
      <c r="K20" s="2" t="s">
        <v>344</v>
      </c>
      <c r="L20" s="2" t="s">
        <v>345</v>
      </c>
      <c r="M20" s="23" t="b">
        <f aca="false">FALSE()</f>
        <v>0</v>
      </c>
      <c r="N20" s="2"/>
      <c r="O20" s="2" t="s">
        <v>158</v>
      </c>
      <c r="P20" s="2" t="s">
        <v>164</v>
      </c>
      <c r="Q20" s="2" t="s">
        <v>354</v>
      </c>
      <c r="R20" s="2" t="s">
        <v>355</v>
      </c>
      <c r="S20" s="2" t="s">
        <v>175</v>
      </c>
      <c r="T20" s="2" t="s">
        <v>178</v>
      </c>
      <c r="U20" s="2" t="n">
        <v>29</v>
      </c>
      <c r="V20" s="2" t="n">
        <v>25</v>
      </c>
      <c r="W20" s="2" t="n">
        <v>4</v>
      </c>
      <c r="X20" s="2" t="n">
        <v>1</v>
      </c>
      <c r="Y20" s="2" t="n">
        <v>1</v>
      </c>
      <c r="Z20" s="2" t="n">
        <v>1</v>
      </c>
      <c r="AA20" s="2" t="n">
        <v>2</v>
      </c>
      <c r="AB20" s="2" t="n">
        <v>63.04</v>
      </c>
      <c r="AC20" s="2" t="n">
        <v>71.54</v>
      </c>
      <c r="AD20" s="2" t="n">
        <v>0.3729</v>
      </c>
    </row>
    <row r="21" customFormat="false" ht="15" hidden="false" customHeight="false" outlineLevel="0" collapsed="false">
      <c r="A21" s="2" t="s">
        <v>84</v>
      </c>
      <c r="B21" s="2" t="s">
        <v>90</v>
      </c>
      <c r="C21" s="2" t="s">
        <v>95</v>
      </c>
      <c r="D21" s="2" t="n">
        <v>42</v>
      </c>
      <c r="E21" s="2" t="s">
        <v>104</v>
      </c>
      <c r="F21" s="2" t="n">
        <v>2</v>
      </c>
      <c r="G21" s="2" t="s">
        <v>508</v>
      </c>
      <c r="H21" s="2" t="s">
        <v>510</v>
      </c>
      <c r="I21" s="2" t="s">
        <v>123</v>
      </c>
      <c r="J21" s="2" t="s">
        <v>500</v>
      </c>
      <c r="K21" s="2" t="s">
        <v>354</v>
      </c>
      <c r="L21" s="2" t="s">
        <v>355</v>
      </c>
      <c r="M21" s="23" t="b">
        <f aca="false">FALSE()</f>
        <v>0</v>
      </c>
      <c r="N21" s="2"/>
      <c r="O21" s="2" t="s">
        <v>158</v>
      </c>
      <c r="P21" s="2" t="s">
        <v>236</v>
      </c>
      <c r="Q21" s="2" t="s">
        <v>344</v>
      </c>
      <c r="R21" s="2" t="s">
        <v>345</v>
      </c>
      <c r="S21" s="2" t="s">
        <v>481</v>
      </c>
      <c r="T21" s="2" t="s">
        <v>482</v>
      </c>
      <c r="U21" s="2" t="n">
        <v>25</v>
      </c>
      <c r="V21" s="2" t="n">
        <v>29</v>
      </c>
      <c r="W21" s="2" t="n">
        <v>-4</v>
      </c>
      <c r="X21" s="2" t="n">
        <v>0</v>
      </c>
      <c r="Y21" s="2" t="n">
        <v>2</v>
      </c>
      <c r="Z21" s="2" t="n">
        <v>-2</v>
      </c>
      <c r="AA21" s="2" t="n">
        <v>0</v>
      </c>
      <c r="AB21" s="2" t="n">
        <v>71.54</v>
      </c>
      <c r="AC21" s="2" t="n">
        <v>63.04</v>
      </c>
      <c r="AD21" s="2" t="n">
        <v>0.6271</v>
      </c>
    </row>
    <row r="22" customFormat="false" ht="15" hidden="false" customHeight="false" outlineLevel="0" collapsed="false">
      <c r="A22" s="2" t="s">
        <v>84</v>
      </c>
      <c r="B22" s="2" t="s">
        <v>90</v>
      </c>
      <c r="C22" s="2" t="s">
        <v>95</v>
      </c>
      <c r="D22" s="2" t="n">
        <v>42</v>
      </c>
      <c r="E22" s="2" t="s">
        <v>104</v>
      </c>
      <c r="F22" s="2" t="n">
        <v>2</v>
      </c>
      <c r="G22" s="2" t="s">
        <v>511</v>
      </c>
      <c r="H22" s="2" t="s">
        <v>512</v>
      </c>
      <c r="I22" s="2" t="s">
        <v>123</v>
      </c>
      <c r="J22" s="2" t="s">
        <v>500</v>
      </c>
      <c r="K22" s="2" t="s">
        <v>352</v>
      </c>
      <c r="L22" s="2" t="s">
        <v>353</v>
      </c>
      <c r="M22" s="23" t="b">
        <f aca="false">FALSE()</f>
        <v>0</v>
      </c>
      <c r="N22" s="2"/>
      <c r="O22" s="2" t="s">
        <v>158</v>
      </c>
      <c r="P22" s="2" t="s">
        <v>236</v>
      </c>
      <c r="Q22" s="2" t="s">
        <v>346</v>
      </c>
      <c r="R22" s="2" t="s">
        <v>347</v>
      </c>
      <c r="S22" s="2" t="s">
        <v>175</v>
      </c>
      <c r="T22" s="2" t="s">
        <v>482</v>
      </c>
      <c r="U22" s="2" t="n">
        <v>19</v>
      </c>
      <c r="V22" s="2" t="n">
        <v>26</v>
      </c>
      <c r="W22" s="2" t="n">
        <v>-7</v>
      </c>
      <c r="X22" s="2" t="n">
        <v>1</v>
      </c>
      <c r="Y22" s="2" t="n">
        <v>1</v>
      </c>
      <c r="Z22" s="2" t="n">
        <v>-1</v>
      </c>
      <c r="AA22" s="2" t="n">
        <v>2</v>
      </c>
      <c r="AB22" s="2" t="n">
        <v>76.32</v>
      </c>
      <c r="AC22" s="2" t="n">
        <v>76.13</v>
      </c>
      <c r="AD22" s="2" t="n">
        <v>0.5436</v>
      </c>
    </row>
    <row r="23" customFormat="false" ht="15" hidden="false" customHeight="false" outlineLevel="0" collapsed="false">
      <c r="A23" s="2" t="s">
        <v>84</v>
      </c>
      <c r="B23" s="2" t="s">
        <v>90</v>
      </c>
      <c r="C23" s="2" t="s">
        <v>95</v>
      </c>
      <c r="D23" s="2" t="n">
        <v>42</v>
      </c>
      <c r="E23" s="2" t="s">
        <v>104</v>
      </c>
      <c r="F23" s="2" t="n">
        <v>2</v>
      </c>
      <c r="G23" s="2" t="s">
        <v>511</v>
      </c>
      <c r="H23" s="2" t="s">
        <v>513</v>
      </c>
      <c r="I23" s="2" t="s">
        <v>123</v>
      </c>
      <c r="J23" s="2" t="s">
        <v>500</v>
      </c>
      <c r="K23" s="2" t="s">
        <v>346</v>
      </c>
      <c r="L23" s="2" t="s">
        <v>347</v>
      </c>
      <c r="M23" s="23" t="b">
        <f aca="false">FALSE()</f>
        <v>0</v>
      </c>
      <c r="N23" s="2"/>
      <c r="O23" s="2" t="s">
        <v>158</v>
      </c>
      <c r="P23" s="2" t="s">
        <v>164</v>
      </c>
      <c r="Q23" s="2" t="s">
        <v>352</v>
      </c>
      <c r="R23" s="2" t="s">
        <v>353</v>
      </c>
      <c r="S23" s="2" t="s">
        <v>481</v>
      </c>
      <c r="T23" s="2" t="s">
        <v>178</v>
      </c>
      <c r="U23" s="2" t="n">
        <v>26</v>
      </c>
      <c r="V23" s="2" t="n">
        <v>19</v>
      </c>
      <c r="W23" s="2" t="n">
        <v>7</v>
      </c>
      <c r="X23" s="2" t="n">
        <v>1</v>
      </c>
      <c r="Y23" s="2" t="n">
        <v>1</v>
      </c>
      <c r="Z23" s="2" t="n">
        <v>1</v>
      </c>
      <c r="AA23" s="2" t="n">
        <v>2</v>
      </c>
      <c r="AB23" s="2" t="n">
        <v>76.13</v>
      </c>
      <c r="AC23" s="2" t="n">
        <v>76.32</v>
      </c>
      <c r="AD23" s="2" t="n">
        <v>0.4564</v>
      </c>
    </row>
    <row r="24" customFormat="false" ht="15" hidden="false" customHeight="false" outlineLevel="0" collapsed="false">
      <c r="A24" s="2" t="s">
        <v>84</v>
      </c>
      <c r="B24" s="2" t="s">
        <v>90</v>
      </c>
      <c r="C24" s="2" t="s">
        <v>95</v>
      </c>
      <c r="D24" s="2" t="n">
        <v>42</v>
      </c>
      <c r="E24" s="2" t="s">
        <v>104</v>
      </c>
      <c r="F24" s="2" t="n">
        <v>2</v>
      </c>
      <c r="G24" s="2" t="s">
        <v>514</v>
      </c>
      <c r="H24" s="2" t="s">
        <v>515</v>
      </c>
      <c r="I24" s="2" t="s">
        <v>123</v>
      </c>
      <c r="J24" s="2" t="s">
        <v>500</v>
      </c>
      <c r="K24" s="2" t="s">
        <v>348</v>
      </c>
      <c r="L24" s="2" t="s">
        <v>349</v>
      </c>
      <c r="M24" s="23" t="b">
        <f aca="false">FALSE()</f>
        <v>0</v>
      </c>
      <c r="N24" s="2"/>
      <c r="O24" s="2" t="s">
        <v>158</v>
      </c>
      <c r="P24" s="2" t="s">
        <v>164</v>
      </c>
      <c r="Q24" s="2" t="s">
        <v>350</v>
      </c>
      <c r="R24" s="2" t="s">
        <v>351</v>
      </c>
      <c r="S24" s="2" t="s">
        <v>175</v>
      </c>
      <c r="T24" s="2" t="s">
        <v>482</v>
      </c>
      <c r="U24" s="2" t="n">
        <v>15</v>
      </c>
      <c r="V24" s="2" t="n">
        <v>27</v>
      </c>
      <c r="W24" s="2" t="n">
        <v>-12</v>
      </c>
      <c r="X24" s="2" t="n">
        <v>1</v>
      </c>
      <c r="Y24" s="2" t="n">
        <v>1</v>
      </c>
      <c r="Z24" s="2" t="n">
        <v>-1</v>
      </c>
      <c r="AA24" s="2" t="n">
        <v>2</v>
      </c>
      <c r="AB24" s="2" t="n">
        <v>73.44</v>
      </c>
      <c r="AC24" s="2" t="n">
        <v>66.15</v>
      </c>
      <c r="AD24" s="2" t="n">
        <v>0.6777</v>
      </c>
    </row>
    <row r="25" customFormat="false" ht="15" hidden="false" customHeight="false" outlineLevel="0" collapsed="false">
      <c r="A25" s="2" t="s">
        <v>84</v>
      </c>
      <c r="B25" s="2" t="s">
        <v>90</v>
      </c>
      <c r="C25" s="2" t="s">
        <v>95</v>
      </c>
      <c r="D25" s="2" t="n">
        <v>42</v>
      </c>
      <c r="E25" s="2" t="s">
        <v>104</v>
      </c>
      <c r="F25" s="2" t="n">
        <v>2</v>
      </c>
      <c r="G25" s="2" t="s">
        <v>514</v>
      </c>
      <c r="H25" s="2" t="s">
        <v>516</v>
      </c>
      <c r="I25" s="2" t="s">
        <v>123</v>
      </c>
      <c r="J25" s="2" t="s">
        <v>500</v>
      </c>
      <c r="K25" s="2" t="s">
        <v>350</v>
      </c>
      <c r="L25" s="2" t="s">
        <v>351</v>
      </c>
      <c r="M25" s="23" t="b">
        <f aca="false">FALSE()</f>
        <v>0</v>
      </c>
      <c r="N25" s="2"/>
      <c r="O25" s="2" t="s">
        <v>158</v>
      </c>
      <c r="P25" s="2" t="s">
        <v>164</v>
      </c>
      <c r="Q25" s="2" t="s">
        <v>348</v>
      </c>
      <c r="R25" s="2" t="s">
        <v>349</v>
      </c>
      <c r="S25" s="2" t="s">
        <v>481</v>
      </c>
      <c r="T25" s="2" t="s">
        <v>178</v>
      </c>
      <c r="U25" s="2" t="n">
        <v>27</v>
      </c>
      <c r="V25" s="2" t="n">
        <v>15</v>
      </c>
      <c r="W25" s="2" t="n">
        <v>12</v>
      </c>
      <c r="X25" s="2" t="n">
        <v>1</v>
      </c>
      <c r="Y25" s="2" t="n">
        <v>1</v>
      </c>
      <c r="Z25" s="2" t="n">
        <v>1</v>
      </c>
      <c r="AA25" s="2" t="n">
        <v>2</v>
      </c>
      <c r="AB25" s="2" t="n">
        <v>66.15</v>
      </c>
      <c r="AC25" s="2" t="n">
        <v>73.44</v>
      </c>
      <c r="AD25" s="2" t="n">
        <v>0.3223</v>
      </c>
    </row>
    <row r="26" customFormat="false" ht="15" hidden="false" customHeight="false" outlineLevel="0" collapsed="false">
      <c r="A26" s="2" t="s">
        <v>84</v>
      </c>
      <c r="B26" s="2" t="s">
        <v>90</v>
      </c>
      <c r="C26" s="2" t="s">
        <v>95</v>
      </c>
      <c r="D26" s="2" t="n">
        <v>42</v>
      </c>
      <c r="E26" s="2" t="s">
        <v>104</v>
      </c>
      <c r="F26" s="2" t="n">
        <v>3</v>
      </c>
      <c r="G26" s="2" t="s">
        <v>517</v>
      </c>
      <c r="H26" s="2" t="s">
        <v>518</v>
      </c>
      <c r="I26" s="2" t="s">
        <v>123</v>
      </c>
      <c r="J26" s="2" t="s">
        <v>519</v>
      </c>
      <c r="K26" s="2" t="s">
        <v>341</v>
      </c>
      <c r="L26" s="2" t="s">
        <v>140</v>
      </c>
      <c r="M26" s="23" t="b">
        <f aca="false">FALSE()</f>
        <v>0</v>
      </c>
      <c r="N26" s="2"/>
      <c r="O26" s="2" t="s">
        <v>158</v>
      </c>
      <c r="P26" s="2" t="s">
        <v>164</v>
      </c>
      <c r="Q26" s="2" t="s">
        <v>358</v>
      </c>
      <c r="R26" s="2" t="s">
        <v>359</v>
      </c>
      <c r="S26" s="2" t="s">
        <v>175</v>
      </c>
      <c r="T26" s="2" t="s">
        <v>482</v>
      </c>
      <c r="U26" s="2" t="n">
        <v>11</v>
      </c>
      <c r="V26" s="2" t="n">
        <v>14</v>
      </c>
      <c r="W26" s="2" t="n">
        <v>-3</v>
      </c>
      <c r="X26" s="2" t="n">
        <v>2</v>
      </c>
      <c r="Y26" s="2" t="n">
        <v>1</v>
      </c>
      <c r="Z26" s="2" t="n">
        <v>-1</v>
      </c>
      <c r="AA26" s="2" t="n">
        <v>4</v>
      </c>
      <c r="AB26" s="2" t="n">
        <v>83.18</v>
      </c>
      <c r="AC26" s="2" t="n">
        <v>65.53</v>
      </c>
      <c r="AD26" s="2" t="n">
        <v>0.8281</v>
      </c>
    </row>
    <row r="27" customFormat="false" ht="15" hidden="false" customHeight="false" outlineLevel="0" collapsed="false">
      <c r="A27" s="2" t="s">
        <v>84</v>
      </c>
      <c r="B27" s="2" t="s">
        <v>90</v>
      </c>
      <c r="C27" s="2" t="s">
        <v>95</v>
      </c>
      <c r="D27" s="2" t="n">
        <v>42</v>
      </c>
      <c r="E27" s="2" t="s">
        <v>104</v>
      </c>
      <c r="F27" s="2" t="n">
        <v>3</v>
      </c>
      <c r="G27" s="2" t="s">
        <v>517</v>
      </c>
      <c r="H27" s="2" t="s">
        <v>520</v>
      </c>
      <c r="I27" s="2" t="s">
        <v>123</v>
      </c>
      <c r="J27" s="2" t="s">
        <v>519</v>
      </c>
      <c r="K27" s="2" t="s">
        <v>358</v>
      </c>
      <c r="L27" s="2" t="s">
        <v>359</v>
      </c>
      <c r="M27" s="23" t="b">
        <f aca="false">FALSE()</f>
        <v>0</v>
      </c>
      <c r="N27" s="2"/>
      <c r="O27" s="2" t="s">
        <v>158</v>
      </c>
      <c r="P27" s="2" t="s">
        <v>236</v>
      </c>
      <c r="Q27" s="2" t="s">
        <v>341</v>
      </c>
      <c r="R27" s="2" t="s">
        <v>140</v>
      </c>
      <c r="S27" s="2" t="s">
        <v>481</v>
      </c>
      <c r="T27" s="2" t="s">
        <v>178</v>
      </c>
      <c r="U27" s="2" t="n">
        <v>14</v>
      </c>
      <c r="V27" s="2" t="n">
        <v>11</v>
      </c>
      <c r="W27" s="2" t="n">
        <v>3</v>
      </c>
      <c r="X27" s="2" t="n">
        <v>3</v>
      </c>
      <c r="Y27" s="2" t="n">
        <v>0</v>
      </c>
      <c r="Z27" s="2" t="n">
        <v>3</v>
      </c>
      <c r="AA27" s="2" t="n">
        <v>6</v>
      </c>
      <c r="AB27" s="2" t="n">
        <v>65.53</v>
      </c>
      <c r="AC27" s="2" t="n">
        <v>83.18</v>
      </c>
      <c r="AD27" s="2" t="n">
        <v>0.1719</v>
      </c>
    </row>
    <row r="28" customFormat="false" ht="15" hidden="false" customHeight="false" outlineLevel="0" collapsed="false">
      <c r="A28" s="2" t="s">
        <v>84</v>
      </c>
      <c r="B28" s="2" t="s">
        <v>90</v>
      </c>
      <c r="C28" s="2" t="s">
        <v>95</v>
      </c>
      <c r="D28" s="2" t="n">
        <v>42</v>
      </c>
      <c r="E28" s="2" t="s">
        <v>104</v>
      </c>
      <c r="F28" s="2" t="n">
        <v>3</v>
      </c>
      <c r="G28" s="2" t="s">
        <v>521</v>
      </c>
      <c r="H28" s="2" t="s">
        <v>522</v>
      </c>
      <c r="I28" s="2" t="s">
        <v>123</v>
      </c>
      <c r="J28" s="2" t="s">
        <v>519</v>
      </c>
      <c r="K28" s="2" t="s">
        <v>356</v>
      </c>
      <c r="L28" s="2" t="s">
        <v>357</v>
      </c>
      <c r="M28" s="23" t="b">
        <f aca="false">FALSE()</f>
        <v>0</v>
      </c>
      <c r="N28" s="2"/>
      <c r="O28" s="2" t="s">
        <v>158</v>
      </c>
      <c r="P28" s="2" t="s">
        <v>236</v>
      </c>
      <c r="Q28" s="2" t="s">
        <v>360</v>
      </c>
      <c r="R28" s="2" t="s">
        <v>361</v>
      </c>
      <c r="S28" s="2" t="s">
        <v>175</v>
      </c>
      <c r="T28" s="2" t="s">
        <v>178</v>
      </c>
      <c r="U28" s="2" t="n">
        <v>22</v>
      </c>
      <c r="V28" s="2" t="n">
        <v>19</v>
      </c>
      <c r="W28" s="2" t="n">
        <v>3</v>
      </c>
      <c r="X28" s="2" t="n">
        <v>2</v>
      </c>
      <c r="Y28" s="2" t="n">
        <v>1</v>
      </c>
      <c r="Z28" s="2" t="n">
        <v>1</v>
      </c>
      <c r="AA28" s="2" t="n">
        <v>4</v>
      </c>
      <c r="AB28" s="2" t="n">
        <v>68.39</v>
      </c>
      <c r="AC28" s="2" t="n">
        <v>58.14</v>
      </c>
      <c r="AD28" s="2" t="n">
        <v>0.7271</v>
      </c>
    </row>
    <row r="29" customFormat="false" ht="15" hidden="false" customHeight="false" outlineLevel="0" collapsed="false">
      <c r="A29" s="2" t="s">
        <v>84</v>
      </c>
      <c r="B29" s="2" t="s">
        <v>90</v>
      </c>
      <c r="C29" s="2" t="s">
        <v>95</v>
      </c>
      <c r="D29" s="2" t="n">
        <v>42</v>
      </c>
      <c r="E29" s="2" t="s">
        <v>104</v>
      </c>
      <c r="F29" s="2" t="n">
        <v>3</v>
      </c>
      <c r="G29" s="2" t="s">
        <v>521</v>
      </c>
      <c r="H29" s="2" t="s">
        <v>523</v>
      </c>
      <c r="I29" s="2" t="s">
        <v>123</v>
      </c>
      <c r="J29" s="2" t="s">
        <v>519</v>
      </c>
      <c r="K29" s="2" t="s">
        <v>360</v>
      </c>
      <c r="L29" s="2" t="s">
        <v>361</v>
      </c>
      <c r="M29" s="23" t="b">
        <f aca="false">FALSE()</f>
        <v>0</v>
      </c>
      <c r="N29" s="2"/>
      <c r="O29" s="2" t="s">
        <v>158</v>
      </c>
      <c r="P29" s="2" t="s">
        <v>236</v>
      </c>
      <c r="Q29" s="2" t="s">
        <v>356</v>
      </c>
      <c r="R29" s="2" t="s">
        <v>357</v>
      </c>
      <c r="S29" s="2" t="s">
        <v>481</v>
      </c>
      <c r="T29" s="2" t="s">
        <v>482</v>
      </c>
      <c r="U29" s="2" t="n">
        <v>19</v>
      </c>
      <c r="V29" s="2" t="n">
        <v>22</v>
      </c>
      <c r="W29" s="2" t="n">
        <v>-3</v>
      </c>
      <c r="X29" s="2" t="n">
        <v>1</v>
      </c>
      <c r="Y29" s="2" t="n">
        <v>2</v>
      </c>
      <c r="Z29" s="2" t="n">
        <v>-2</v>
      </c>
      <c r="AA29" s="2" t="n">
        <v>2</v>
      </c>
      <c r="AB29" s="2" t="n">
        <v>58.14</v>
      </c>
      <c r="AC29" s="2" t="n">
        <v>68.39</v>
      </c>
      <c r="AD29" s="2" t="n">
        <v>0.2729</v>
      </c>
    </row>
    <row r="30" customFormat="false" ht="15" hidden="false" customHeight="false" outlineLevel="0" collapsed="false">
      <c r="A30" s="2" t="s">
        <v>84</v>
      </c>
      <c r="B30" s="2" t="s">
        <v>90</v>
      </c>
      <c r="C30" s="2" t="s">
        <v>95</v>
      </c>
      <c r="D30" s="2" t="n">
        <v>42</v>
      </c>
      <c r="E30" s="2" t="s">
        <v>104</v>
      </c>
      <c r="F30" s="2" t="n">
        <v>3</v>
      </c>
      <c r="G30" s="2" t="s">
        <v>524</v>
      </c>
      <c r="H30" s="2" t="s">
        <v>525</v>
      </c>
      <c r="I30" s="2" t="s">
        <v>123</v>
      </c>
      <c r="J30" s="2" t="s">
        <v>519</v>
      </c>
      <c r="K30" s="2" t="s">
        <v>362</v>
      </c>
      <c r="L30" s="2" t="s">
        <v>172</v>
      </c>
      <c r="M30" s="23" t="b">
        <f aca="false">TRUE()</f>
        <v>1</v>
      </c>
      <c r="N30" s="2" t="s">
        <v>152</v>
      </c>
      <c r="O30" s="2" t="s">
        <v>158</v>
      </c>
      <c r="P30" s="2" t="s">
        <v>236</v>
      </c>
      <c r="Q30" s="2" t="s">
        <v>354</v>
      </c>
      <c r="R30" s="2" t="s">
        <v>355</v>
      </c>
      <c r="S30" s="2" t="s">
        <v>175</v>
      </c>
      <c r="T30" s="2" t="s">
        <v>178</v>
      </c>
      <c r="U30" s="2" t="n">
        <v>25</v>
      </c>
      <c r="V30" s="2" t="n">
        <v>19</v>
      </c>
      <c r="W30" s="2" t="n">
        <v>6</v>
      </c>
      <c r="X30" s="2" t="n">
        <v>1</v>
      </c>
      <c r="Y30" s="2" t="n">
        <v>2</v>
      </c>
      <c r="Z30" s="2" t="n">
        <v>1</v>
      </c>
      <c r="AA30" s="2" t="n">
        <v>2</v>
      </c>
      <c r="AB30" s="2" t="n">
        <v>70.69</v>
      </c>
      <c r="AC30" s="2" t="n">
        <v>71.54</v>
      </c>
      <c r="AD30" s="2" t="n">
        <v>0.5231</v>
      </c>
    </row>
    <row r="31" customFormat="false" ht="15" hidden="false" customHeight="false" outlineLevel="0" collapsed="false">
      <c r="A31" s="2" t="s">
        <v>84</v>
      </c>
      <c r="B31" s="2" t="s">
        <v>90</v>
      </c>
      <c r="C31" s="2" t="s">
        <v>95</v>
      </c>
      <c r="D31" s="2" t="n">
        <v>42</v>
      </c>
      <c r="E31" s="2" t="s">
        <v>104</v>
      </c>
      <c r="F31" s="2" t="n">
        <v>3</v>
      </c>
      <c r="G31" s="2" t="s">
        <v>524</v>
      </c>
      <c r="H31" s="2" t="s">
        <v>526</v>
      </c>
      <c r="I31" s="2" t="s">
        <v>123</v>
      </c>
      <c r="J31" s="2" t="s">
        <v>519</v>
      </c>
      <c r="K31" s="2" t="s">
        <v>354</v>
      </c>
      <c r="L31" s="2" t="s">
        <v>355</v>
      </c>
      <c r="M31" s="23" t="b">
        <f aca="false">FALSE()</f>
        <v>0</v>
      </c>
      <c r="N31" s="2"/>
      <c r="O31" s="2" t="s">
        <v>158</v>
      </c>
      <c r="P31" s="2" t="s">
        <v>236</v>
      </c>
      <c r="Q31" s="2" t="s">
        <v>362</v>
      </c>
      <c r="R31" s="2" t="s">
        <v>172</v>
      </c>
      <c r="S31" s="2" t="s">
        <v>481</v>
      </c>
      <c r="T31" s="2" t="s">
        <v>482</v>
      </c>
      <c r="U31" s="2" t="n">
        <v>19</v>
      </c>
      <c r="V31" s="2" t="n">
        <v>25</v>
      </c>
      <c r="W31" s="2" t="n">
        <v>-6</v>
      </c>
      <c r="X31" s="2" t="n">
        <v>0</v>
      </c>
      <c r="Y31" s="2" t="n">
        <v>3</v>
      </c>
      <c r="Z31" s="2" t="n">
        <v>-3</v>
      </c>
      <c r="AA31" s="2" t="n">
        <v>0</v>
      </c>
      <c r="AB31" s="2" t="n">
        <v>71.54</v>
      </c>
      <c r="AC31" s="2" t="n">
        <v>70.69</v>
      </c>
      <c r="AD31" s="2" t="n">
        <v>0.4769</v>
      </c>
    </row>
    <row r="32" customFormat="false" ht="15" hidden="false" customHeight="false" outlineLevel="0" collapsed="false">
      <c r="A32" s="2" t="s">
        <v>84</v>
      </c>
      <c r="B32" s="2" t="s">
        <v>90</v>
      </c>
      <c r="C32" s="2" t="s">
        <v>95</v>
      </c>
      <c r="D32" s="2" t="n">
        <v>42</v>
      </c>
      <c r="E32" s="2" t="s">
        <v>104</v>
      </c>
      <c r="F32" s="2" t="n">
        <v>3</v>
      </c>
      <c r="G32" s="2" t="s">
        <v>527</v>
      </c>
      <c r="H32" s="2" t="s">
        <v>528</v>
      </c>
      <c r="I32" s="2" t="s">
        <v>123</v>
      </c>
      <c r="J32" s="2" t="s">
        <v>519</v>
      </c>
      <c r="K32" s="2" t="s">
        <v>352</v>
      </c>
      <c r="L32" s="2" t="s">
        <v>353</v>
      </c>
      <c r="M32" s="23" t="b">
        <f aca="false">FALSE()</f>
        <v>0</v>
      </c>
      <c r="N32" s="2"/>
      <c r="O32" s="2" t="s">
        <v>158</v>
      </c>
      <c r="P32" s="2" t="s">
        <v>236</v>
      </c>
      <c r="Q32" s="2" t="s">
        <v>342</v>
      </c>
      <c r="R32" s="2" t="s">
        <v>343</v>
      </c>
      <c r="S32" s="2" t="s">
        <v>175</v>
      </c>
      <c r="T32" s="2" t="s">
        <v>178</v>
      </c>
      <c r="U32" s="2" t="n">
        <v>33</v>
      </c>
      <c r="V32" s="2" t="n">
        <v>24</v>
      </c>
      <c r="W32" s="2" t="n">
        <v>9</v>
      </c>
      <c r="X32" s="2" t="n">
        <v>2</v>
      </c>
      <c r="Y32" s="2" t="n">
        <v>1</v>
      </c>
      <c r="Z32" s="2" t="n">
        <v>1</v>
      </c>
      <c r="AA32" s="2" t="n">
        <v>4</v>
      </c>
      <c r="AB32" s="2" t="n">
        <v>76.32</v>
      </c>
      <c r="AC32" s="2" t="n">
        <v>69.16</v>
      </c>
      <c r="AD32" s="2" t="n">
        <v>0.6755</v>
      </c>
    </row>
    <row r="33" customFormat="false" ht="15" hidden="false" customHeight="false" outlineLevel="0" collapsed="false">
      <c r="A33" s="2" t="s">
        <v>84</v>
      </c>
      <c r="B33" s="2" t="s">
        <v>90</v>
      </c>
      <c r="C33" s="2" t="s">
        <v>95</v>
      </c>
      <c r="D33" s="2" t="n">
        <v>42</v>
      </c>
      <c r="E33" s="2" t="s">
        <v>104</v>
      </c>
      <c r="F33" s="2" t="n">
        <v>3</v>
      </c>
      <c r="G33" s="2" t="s">
        <v>527</v>
      </c>
      <c r="H33" s="2" t="s">
        <v>529</v>
      </c>
      <c r="I33" s="2" t="s">
        <v>123</v>
      </c>
      <c r="J33" s="2" t="s">
        <v>519</v>
      </c>
      <c r="K33" s="2" t="s">
        <v>342</v>
      </c>
      <c r="L33" s="2" t="s">
        <v>343</v>
      </c>
      <c r="M33" s="23" t="b">
        <f aca="false">FALSE()</f>
        <v>0</v>
      </c>
      <c r="N33" s="2"/>
      <c r="O33" s="2" t="s">
        <v>158</v>
      </c>
      <c r="P33" s="2" t="s">
        <v>164</v>
      </c>
      <c r="Q33" s="2" t="s">
        <v>352</v>
      </c>
      <c r="R33" s="2" t="s">
        <v>353</v>
      </c>
      <c r="S33" s="2" t="s">
        <v>481</v>
      </c>
      <c r="T33" s="2" t="s">
        <v>482</v>
      </c>
      <c r="U33" s="2" t="n">
        <v>24</v>
      </c>
      <c r="V33" s="2" t="n">
        <v>33</v>
      </c>
      <c r="W33" s="2" t="n">
        <v>-9</v>
      </c>
      <c r="X33" s="2" t="n">
        <v>1</v>
      </c>
      <c r="Y33" s="2" t="n">
        <v>2</v>
      </c>
      <c r="Z33" s="2" t="n">
        <v>-1</v>
      </c>
      <c r="AA33" s="2" t="n">
        <v>2</v>
      </c>
      <c r="AB33" s="2" t="n">
        <v>69.16</v>
      </c>
      <c r="AC33" s="2" t="n">
        <v>76.32</v>
      </c>
      <c r="AD33" s="2" t="n">
        <v>0.3245</v>
      </c>
    </row>
    <row r="34" customFormat="false" ht="15" hidden="false" customHeight="false" outlineLevel="0" collapsed="false">
      <c r="A34" s="2" t="s">
        <v>84</v>
      </c>
      <c r="B34" s="2" t="s">
        <v>90</v>
      </c>
      <c r="C34" s="2" t="s">
        <v>95</v>
      </c>
      <c r="D34" s="2" t="n">
        <v>42</v>
      </c>
      <c r="E34" s="2" t="s">
        <v>104</v>
      </c>
      <c r="F34" s="2" t="n">
        <v>3</v>
      </c>
      <c r="G34" s="2" t="s">
        <v>530</v>
      </c>
      <c r="H34" s="2" t="s">
        <v>531</v>
      </c>
      <c r="I34" s="2" t="s">
        <v>123</v>
      </c>
      <c r="J34" s="2" t="s">
        <v>519</v>
      </c>
      <c r="K34" s="2" t="s">
        <v>344</v>
      </c>
      <c r="L34" s="2" t="s">
        <v>345</v>
      </c>
      <c r="M34" s="23" t="b">
        <f aca="false">FALSE()</f>
        <v>0</v>
      </c>
      <c r="N34" s="2"/>
      <c r="O34" s="2" t="s">
        <v>158</v>
      </c>
      <c r="P34" s="2" t="s">
        <v>164</v>
      </c>
      <c r="Q34" s="2" t="s">
        <v>350</v>
      </c>
      <c r="R34" s="2" t="s">
        <v>351</v>
      </c>
      <c r="S34" s="2" t="s">
        <v>175</v>
      </c>
      <c r="T34" s="2" t="s">
        <v>482</v>
      </c>
      <c r="U34" s="2" t="n">
        <v>16</v>
      </c>
      <c r="V34" s="2" t="n">
        <v>26</v>
      </c>
      <c r="W34" s="2" t="n">
        <v>-10</v>
      </c>
      <c r="X34" s="2" t="n">
        <v>1</v>
      </c>
      <c r="Y34" s="2" t="n">
        <v>2</v>
      </c>
      <c r="Z34" s="2" t="n">
        <v>-1</v>
      </c>
      <c r="AA34" s="2" t="n">
        <v>2</v>
      </c>
      <c r="AB34" s="2" t="n">
        <v>63.04</v>
      </c>
      <c r="AC34" s="2" t="n">
        <v>66.15</v>
      </c>
      <c r="AD34" s="2" t="n">
        <v>0.4777</v>
      </c>
    </row>
    <row r="35" customFormat="false" ht="15" hidden="false" customHeight="false" outlineLevel="0" collapsed="false">
      <c r="A35" s="2" t="s">
        <v>84</v>
      </c>
      <c r="B35" s="2" t="s">
        <v>90</v>
      </c>
      <c r="C35" s="2" t="s">
        <v>95</v>
      </c>
      <c r="D35" s="2" t="n">
        <v>42</v>
      </c>
      <c r="E35" s="2" t="s">
        <v>104</v>
      </c>
      <c r="F35" s="2" t="n">
        <v>3</v>
      </c>
      <c r="G35" s="2" t="s">
        <v>530</v>
      </c>
      <c r="H35" s="2" t="s">
        <v>532</v>
      </c>
      <c r="I35" s="2" t="s">
        <v>123</v>
      </c>
      <c r="J35" s="2" t="s">
        <v>519</v>
      </c>
      <c r="K35" s="2" t="s">
        <v>350</v>
      </c>
      <c r="L35" s="2" t="s">
        <v>351</v>
      </c>
      <c r="M35" s="23" t="b">
        <f aca="false">FALSE()</f>
        <v>0</v>
      </c>
      <c r="N35" s="2"/>
      <c r="O35" s="2" t="s">
        <v>158</v>
      </c>
      <c r="P35" s="2" t="s">
        <v>164</v>
      </c>
      <c r="Q35" s="2" t="s">
        <v>344</v>
      </c>
      <c r="R35" s="2" t="s">
        <v>345</v>
      </c>
      <c r="S35" s="2" t="s">
        <v>481</v>
      </c>
      <c r="T35" s="2" t="s">
        <v>178</v>
      </c>
      <c r="U35" s="2" t="n">
        <v>26</v>
      </c>
      <c r="V35" s="2" t="n">
        <v>16</v>
      </c>
      <c r="W35" s="2" t="n">
        <v>10</v>
      </c>
      <c r="X35" s="2" t="n">
        <v>2</v>
      </c>
      <c r="Y35" s="2" t="n">
        <v>1</v>
      </c>
      <c r="Z35" s="2" t="n">
        <v>2</v>
      </c>
      <c r="AA35" s="2" t="n">
        <v>4</v>
      </c>
      <c r="AB35" s="2" t="n">
        <v>66.15</v>
      </c>
      <c r="AC35" s="2" t="n">
        <v>63.04</v>
      </c>
      <c r="AD35" s="2" t="n">
        <v>0.5223</v>
      </c>
    </row>
    <row r="36" customFormat="false" ht="15" hidden="false" customHeight="false" outlineLevel="0" collapsed="false">
      <c r="A36" s="2" t="s">
        <v>84</v>
      </c>
      <c r="B36" s="2" t="s">
        <v>90</v>
      </c>
      <c r="C36" s="2" t="s">
        <v>95</v>
      </c>
      <c r="D36" s="2" t="n">
        <v>42</v>
      </c>
      <c r="E36" s="2" t="s">
        <v>104</v>
      </c>
      <c r="F36" s="2" t="n">
        <v>3</v>
      </c>
      <c r="G36" s="2" t="s">
        <v>533</v>
      </c>
      <c r="H36" s="2" t="s">
        <v>534</v>
      </c>
      <c r="I36" s="2" t="s">
        <v>123</v>
      </c>
      <c r="J36" s="2" t="s">
        <v>519</v>
      </c>
      <c r="K36" s="2" t="s">
        <v>348</v>
      </c>
      <c r="L36" s="2" t="s">
        <v>349</v>
      </c>
      <c r="M36" s="23" t="b">
        <f aca="false">FALSE()</f>
        <v>0</v>
      </c>
      <c r="N36" s="2"/>
      <c r="O36" s="2" t="s">
        <v>158</v>
      </c>
      <c r="P36" s="2" t="s">
        <v>164</v>
      </c>
      <c r="Q36" s="2" t="s">
        <v>346</v>
      </c>
      <c r="R36" s="2" t="s">
        <v>347</v>
      </c>
      <c r="S36" s="2" t="s">
        <v>175</v>
      </c>
      <c r="T36" s="2" t="s">
        <v>178</v>
      </c>
      <c r="U36" s="2" t="n">
        <v>40</v>
      </c>
      <c r="V36" s="2" t="n">
        <v>18</v>
      </c>
      <c r="W36" s="2" t="n">
        <v>22</v>
      </c>
      <c r="X36" s="2" t="n">
        <v>2</v>
      </c>
      <c r="Y36" s="2" t="n">
        <v>1</v>
      </c>
      <c r="Z36" s="2" t="n">
        <v>1</v>
      </c>
      <c r="AA36" s="2" t="n">
        <v>4</v>
      </c>
      <c r="AB36" s="2" t="n">
        <v>73.44</v>
      </c>
      <c r="AC36" s="2" t="n">
        <v>76.13</v>
      </c>
      <c r="AD36" s="2" t="n">
        <v>0.4861</v>
      </c>
    </row>
    <row r="37" customFormat="false" ht="15" hidden="false" customHeight="false" outlineLevel="0" collapsed="false">
      <c r="A37" s="2" t="s">
        <v>84</v>
      </c>
      <c r="B37" s="2" t="s">
        <v>90</v>
      </c>
      <c r="C37" s="2" t="s">
        <v>95</v>
      </c>
      <c r="D37" s="2" t="n">
        <v>42</v>
      </c>
      <c r="E37" s="2" t="s">
        <v>104</v>
      </c>
      <c r="F37" s="2" t="n">
        <v>3</v>
      </c>
      <c r="G37" s="2" t="s">
        <v>533</v>
      </c>
      <c r="H37" s="2" t="s">
        <v>535</v>
      </c>
      <c r="I37" s="2" t="s">
        <v>123</v>
      </c>
      <c r="J37" s="2" t="s">
        <v>519</v>
      </c>
      <c r="K37" s="2" t="s">
        <v>346</v>
      </c>
      <c r="L37" s="2" t="s">
        <v>347</v>
      </c>
      <c r="M37" s="23" t="b">
        <f aca="false">FALSE()</f>
        <v>0</v>
      </c>
      <c r="N37" s="2"/>
      <c r="O37" s="2" t="s">
        <v>158</v>
      </c>
      <c r="P37" s="2" t="s">
        <v>164</v>
      </c>
      <c r="Q37" s="2" t="s">
        <v>348</v>
      </c>
      <c r="R37" s="2" t="s">
        <v>349</v>
      </c>
      <c r="S37" s="2" t="s">
        <v>481</v>
      </c>
      <c r="T37" s="2" t="s">
        <v>482</v>
      </c>
      <c r="U37" s="2" t="n">
        <v>18</v>
      </c>
      <c r="V37" s="2" t="n">
        <v>40</v>
      </c>
      <c r="W37" s="2" t="n">
        <v>-22</v>
      </c>
      <c r="X37" s="2" t="n">
        <v>1</v>
      </c>
      <c r="Y37" s="2" t="n">
        <v>2</v>
      </c>
      <c r="Z37" s="2" t="n">
        <v>-1</v>
      </c>
      <c r="AA37" s="2" t="n">
        <v>2</v>
      </c>
      <c r="AB37" s="2" t="n">
        <v>76.13</v>
      </c>
      <c r="AC37" s="2" t="n">
        <v>73.44</v>
      </c>
      <c r="AD37" s="2" t="n">
        <v>0.5139</v>
      </c>
    </row>
    <row r="38" customFormat="false" ht="15" hidden="false" customHeight="false" outlineLevel="0" collapsed="false">
      <c r="A38" s="2" t="s">
        <v>84</v>
      </c>
      <c r="B38" s="2" t="s">
        <v>90</v>
      </c>
      <c r="C38" s="2" t="s">
        <v>95</v>
      </c>
      <c r="D38" s="2" t="n">
        <v>42</v>
      </c>
      <c r="E38" s="2" t="s">
        <v>104</v>
      </c>
      <c r="F38" s="2" t="n">
        <v>4</v>
      </c>
      <c r="G38" s="2" t="s">
        <v>536</v>
      </c>
      <c r="H38" s="2" t="s">
        <v>537</v>
      </c>
      <c r="I38" s="2" t="s">
        <v>123</v>
      </c>
      <c r="J38" s="2" t="s">
        <v>538</v>
      </c>
      <c r="K38" s="2" t="s">
        <v>356</v>
      </c>
      <c r="L38" s="2" t="s">
        <v>357</v>
      </c>
      <c r="M38" s="23" t="b">
        <f aca="false">FALSE()</f>
        <v>0</v>
      </c>
      <c r="N38" s="2"/>
      <c r="O38" s="2" t="s">
        <v>158</v>
      </c>
      <c r="P38" s="2" t="s">
        <v>236</v>
      </c>
      <c r="Q38" s="2" t="s">
        <v>341</v>
      </c>
      <c r="R38" s="2" t="s">
        <v>140</v>
      </c>
      <c r="S38" s="2" t="s">
        <v>175</v>
      </c>
      <c r="T38" s="2" t="s">
        <v>482</v>
      </c>
      <c r="U38" s="2" t="n">
        <v>17</v>
      </c>
      <c r="V38" s="2" t="n">
        <v>21</v>
      </c>
      <c r="W38" s="2" t="n">
        <v>-4</v>
      </c>
      <c r="X38" s="2" t="n">
        <v>2</v>
      </c>
      <c r="Y38" s="2" t="n">
        <v>2</v>
      </c>
      <c r="Z38" s="2" t="n">
        <v>-1</v>
      </c>
      <c r="AA38" s="2" t="n">
        <v>4</v>
      </c>
      <c r="AB38" s="2" t="n">
        <v>68.39</v>
      </c>
      <c r="AC38" s="2" t="n">
        <v>83.18</v>
      </c>
      <c r="AD38" s="2" t="n">
        <v>0.2644</v>
      </c>
    </row>
    <row r="39" customFormat="false" ht="15" hidden="false" customHeight="false" outlineLevel="0" collapsed="false">
      <c r="A39" s="2" t="s">
        <v>84</v>
      </c>
      <c r="B39" s="2" t="s">
        <v>90</v>
      </c>
      <c r="C39" s="2" t="s">
        <v>95</v>
      </c>
      <c r="D39" s="2" t="n">
        <v>42</v>
      </c>
      <c r="E39" s="2" t="s">
        <v>104</v>
      </c>
      <c r="F39" s="2" t="n">
        <v>4</v>
      </c>
      <c r="G39" s="2" t="s">
        <v>536</v>
      </c>
      <c r="H39" s="2" t="s">
        <v>539</v>
      </c>
      <c r="I39" s="2" t="s">
        <v>123</v>
      </c>
      <c r="J39" s="2" t="s">
        <v>538</v>
      </c>
      <c r="K39" s="2" t="s">
        <v>341</v>
      </c>
      <c r="L39" s="2" t="s">
        <v>140</v>
      </c>
      <c r="M39" s="23" t="b">
        <f aca="false">FALSE()</f>
        <v>0</v>
      </c>
      <c r="N39" s="2"/>
      <c r="O39" s="2" t="s">
        <v>158</v>
      </c>
      <c r="P39" s="2" t="s">
        <v>164</v>
      </c>
      <c r="Q39" s="2" t="s">
        <v>356</v>
      </c>
      <c r="R39" s="2" t="s">
        <v>357</v>
      </c>
      <c r="S39" s="2" t="s">
        <v>481</v>
      </c>
      <c r="T39" s="2" t="s">
        <v>178</v>
      </c>
      <c r="U39" s="2" t="n">
        <v>21</v>
      </c>
      <c r="V39" s="2" t="n">
        <v>17</v>
      </c>
      <c r="W39" s="2" t="n">
        <v>4</v>
      </c>
      <c r="X39" s="2" t="n">
        <v>3</v>
      </c>
      <c r="Y39" s="2" t="n">
        <v>1</v>
      </c>
      <c r="Z39" s="2" t="n">
        <v>1</v>
      </c>
      <c r="AA39" s="2" t="n">
        <v>6</v>
      </c>
      <c r="AB39" s="2" t="n">
        <v>83.18</v>
      </c>
      <c r="AC39" s="2" t="n">
        <v>68.39</v>
      </c>
      <c r="AD39" s="2" t="n">
        <v>0.7356</v>
      </c>
    </row>
    <row r="40" customFormat="false" ht="15" hidden="false" customHeight="false" outlineLevel="0" collapsed="false">
      <c r="A40" s="2" t="s">
        <v>84</v>
      </c>
      <c r="B40" s="2" t="s">
        <v>90</v>
      </c>
      <c r="C40" s="2" t="s">
        <v>95</v>
      </c>
      <c r="D40" s="2" t="n">
        <v>42</v>
      </c>
      <c r="E40" s="2" t="s">
        <v>104</v>
      </c>
      <c r="F40" s="2" t="n">
        <v>4</v>
      </c>
      <c r="G40" s="2" t="s">
        <v>540</v>
      </c>
      <c r="H40" s="2" t="s">
        <v>541</v>
      </c>
      <c r="I40" s="2" t="s">
        <v>123</v>
      </c>
      <c r="J40" s="2" t="s">
        <v>538</v>
      </c>
      <c r="K40" s="2" t="s">
        <v>358</v>
      </c>
      <c r="L40" s="2" t="s">
        <v>359</v>
      </c>
      <c r="M40" s="23" t="b">
        <f aca="false">FALSE()</f>
        <v>0</v>
      </c>
      <c r="N40" s="2"/>
      <c r="O40" s="2" t="s">
        <v>158</v>
      </c>
      <c r="P40" s="2" t="s">
        <v>236</v>
      </c>
      <c r="Q40" s="2" t="s">
        <v>354</v>
      </c>
      <c r="R40" s="2" t="s">
        <v>355</v>
      </c>
      <c r="S40" s="2" t="s">
        <v>175</v>
      </c>
      <c r="T40" s="2" t="s">
        <v>482</v>
      </c>
      <c r="U40" s="2" t="n">
        <v>23</v>
      </c>
      <c r="V40" s="2" t="n">
        <v>34</v>
      </c>
      <c r="W40" s="2" t="n">
        <v>-11</v>
      </c>
      <c r="X40" s="2" t="n">
        <v>3</v>
      </c>
      <c r="Y40" s="2" t="n">
        <v>1</v>
      </c>
      <c r="Z40" s="2" t="n">
        <v>-1</v>
      </c>
      <c r="AA40" s="2" t="n">
        <v>6</v>
      </c>
      <c r="AB40" s="2" t="n">
        <v>65.53</v>
      </c>
      <c r="AC40" s="2" t="n">
        <v>71.54</v>
      </c>
      <c r="AD40" s="2" t="n">
        <v>0.4205</v>
      </c>
    </row>
    <row r="41" customFormat="false" ht="15" hidden="false" customHeight="false" outlineLevel="0" collapsed="false">
      <c r="A41" s="2" t="s">
        <v>84</v>
      </c>
      <c r="B41" s="2" t="s">
        <v>90</v>
      </c>
      <c r="C41" s="2" t="s">
        <v>95</v>
      </c>
      <c r="D41" s="2" t="n">
        <v>42</v>
      </c>
      <c r="E41" s="2" t="s">
        <v>104</v>
      </c>
      <c r="F41" s="2" t="n">
        <v>4</v>
      </c>
      <c r="G41" s="2" t="s">
        <v>540</v>
      </c>
      <c r="H41" s="2" t="s">
        <v>542</v>
      </c>
      <c r="I41" s="2" t="s">
        <v>123</v>
      </c>
      <c r="J41" s="2" t="s">
        <v>538</v>
      </c>
      <c r="K41" s="2" t="s">
        <v>354</v>
      </c>
      <c r="L41" s="2" t="s">
        <v>355</v>
      </c>
      <c r="M41" s="23" t="b">
        <f aca="false">FALSE()</f>
        <v>0</v>
      </c>
      <c r="N41" s="2"/>
      <c r="O41" s="2" t="s">
        <v>158</v>
      </c>
      <c r="P41" s="2" t="s">
        <v>236</v>
      </c>
      <c r="Q41" s="2" t="s">
        <v>358</v>
      </c>
      <c r="R41" s="2" t="s">
        <v>359</v>
      </c>
      <c r="S41" s="2" t="s">
        <v>481</v>
      </c>
      <c r="T41" s="2" t="s">
        <v>178</v>
      </c>
      <c r="U41" s="2" t="n">
        <v>34</v>
      </c>
      <c r="V41" s="2" t="n">
        <v>23</v>
      </c>
      <c r="W41" s="2" t="n">
        <v>11</v>
      </c>
      <c r="X41" s="2" t="n">
        <v>1</v>
      </c>
      <c r="Y41" s="2" t="n">
        <v>3</v>
      </c>
      <c r="Z41" s="2" t="n">
        <v>1</v>
      </c>
      <c r="AA41" s="2" t="n">
        <v>2</v>
      </c>
      <c r="AB41" s="2" t="n">
        <v>71.54</v>
      </c>
      <c r="AC41" s="2" t="n">
        <v>65.53</v>
      </c>
      <c r="AD41" s="2" t="n">
        <v>0.5795</v>
      </c>
    </row>
    <row r="42" customFormat="false" ht="15" hidden="false" customHeight="false" outlineLevel="0" collapsed="false">
      <c r="A42" s="2" t="s">
        <v>84</v>
      </c>
      <c r="B42" s="2" t="s">
        <v>90</v>
      </c>
      <c r="C42" s="2" t="s">
        <v>95</v>
      </c>
      <c r="D42" s="2" t="n">
        <v>42</v>
      </c>
      <c r="E42" s="2" t="s">
        <v>104</v>
      </c>
      <c r="F42" s="2" t="n">
        <v>4</v>
      </c>
      <c r="G42" s="2" t="s">
        <v>543</v>
      </c>
      <c r="H42" s="2" t="s">
        <v>544</v>
      </c>
      <c r="I42" s="2" t="s">
        <v>123</v>
      </c>
      <c r="J42" s="2" t="s">
        <v>538</v>
      </c>
      <c r="K42" s="2" t="s">
        <v>352</v>
      </c>
      <c r="L42" s="2" t="s">
        <v>353</v>
      </c>
      <c r="M42" s="23" t="b">
        <f aca="false">FALSE()</f>
        <v>0</v>
      </c>
      <c r="N42" s="2"/>
      <c r="O42" s="2" t="s">
        <v>158</v>
      </c>
      <c r="P42" s="2" t="s">
        <v>236</v>
      </c>
      <c r="Q42" s="2" t="s">
        <v>360</v>
      </c>
      <c r="R42" s="2" t="s">
        <v>361</v>
      </c>
      <c r="S42" s="2" t="s">
        <v>175</v>
      </c>
      <c r="T42" s="2" t="s">
        <v>482</v>
      </c>
      <c r="U42" s="2" t="n">
        <v>15</v>
      </c>
      <c r="V42" s="2" t="n">
        <v>16</v>
      </c>
      <c r="W42" s="2" t="n">
        <v>-1</v>
      </c>
      <c r="X42" s="2" t="n">
        <v>2</v>
      </c>
      <c r="Y42" s="2" t="n">
        <v>2</v>
      </c>
      <c r="Z42" s="2" t="n">
        <v>-1</v>
      </c>
      <c r="AA42" s="2" t="n">
        <v>4</v>
      </c>
      <c r="AB42" s="2" t="n">
        <v>76.32</v>
      </c>
      <c r="AC42" s="2" t="n">
        <v>58.14</v>
      </c>
      <c r="AD42" s="2" t="n">
        <v>0.834</v>
      </c>
    </row>
    <row r="43" customFormat="false" ht="15" hidden="false" customHeight="false" outlineLevel="0" collapsed="false">
      <c r="A43" s="2" t="s">
        <v>84</v>
      </c>
      <c r="B43" s="2" t="s">
        <v>90</v>
      </c>
      <c r="C43" s="2" t="s">
        <v>95</v>
      </c>
      <c r="D43" s="2" t="n">
        <v>42</v>
      </c>
      <c r="E43" s="2" t="s">
        <v>104</v>
      </c>
      <c r="F43" s="2" t="n">
        <v>4</v>
      </c>
      <c r="G43" s="2" t="s">
        <v>543</v>
      </c>
      <c r="H43" s="2" t="s">
        <v>545</v>
      </c>
      <c r="I43" s="2" t="s">
        <v>123</v>
      </c>
      <c r="J43" s="2" t="s">
        <v>538</v>
      </c>
      <c r="K43" s="2" t="s">
        <v>360</v>
      </c>
      <c r="L43" s="2" t="s">
        <v>361</v>
      </c>
      <c r="M43" s="23" t="b">
        <f aca="false">FALSE()</f>
        <v>0</v>
      </c>
      <c r="N43" s="2"/>
      <c r="O43" s="2" t="s">
        <v>158</v>
      </c>
      <c r="P43" s="2" t="s">
        <v>236</v>
      </c>
      <c r="Q43" s="2" t="s">
        <v>352</v>
      </c>
      <c r="R43" s="2" t="s">
        <v>353</v>
      </c>
      <c r="S43" s="2" t="s">
        <v>481</v>
      </c>
      <c r="T43" s="2" t="s">
        <v>178</v>
      </c>
      <c r="U43" s="2" t="n">
        <v>16</v>
      </c>
      <c r="V43" s="2" t="n">
        <v>15</v>
      </c>
      <c r="W43" s="2" t="n">
        <v>1</v>
      </c>
      <c r="X43" s="2" t="n">
        <v>2</v>
      </c>
      <c r="Y43" s="2" t="n">
        <v>2</v>
      </c>
      <c r="Z43" s="2" t="n">
        <v>1</v>
      </c>
      <c r="AA43" s="2" t="n">
        <v>4</v>
      </c>
      <c r="AB43" s="2" t="n">
        <v>58.14</v>
      </c>
      <c r="AC43" s="2" t="n">
        <v>76.32</v>
      </c>
      <c r="AD43" s="2" t="n">
        <v>0.166</v>
      </c>
    </row>
    <row r="44" customFormat="false" ht="15" hidden="false" customHeight="false" outlineLevel="0" collapsed="false">
      <c r="A44" s="2" t="s">
        <v>84</v>
      </c>
      <c r="B44" s="2" t="s">
        <v>90</v>
      </c>
      <c r="C44" s="2" t="s">
        <v>95</v>
      </c>
      <c r="D44" s="2" t="n">
        <v>42</v>
      </c>
      <c r="E44" s="2" t="s">
        <v>104</v>
      </c>
      <c r="F44" s="2" t="n">
        <v>4</v>
      </c>
      <c r="G44" s="2" t="s">
        <v>546</v>
      </c>
      <c r="H44" s="2" t="s">
        <v>547</v>
      </c>
      <c r="I44" s="2" t="s">
        <v>123</v>
      </c>
      <c r="J44" s="2" t="s">
        <v>538</v>
      </c>
      <c r="K44" s="2" t="s">
        <v>362</v>
      </c>
      <c r="L44" s="2" t="s">
        <v>172</v>
      </c>
      <c r="M44" s="23" t="b">
        <f aca="false">TRUE()</f>
        <v>1</v>
      </c>
      <c r="N44" s="2" t="s">
        <v>152</v>
      </c>
      <c r="O44" s="2" t="s">
        <v>158</v>
      </c>
      <c r="P44" s="2" t="s">
        <v>236</v>
      </c>
      <c r="Q44" s="2" t="s">
        <v>350</v>
      </c>
      <c r="R44" s="2" t="s">
        <v>351</v>
      </c>
      <c r="S44" s="2" t="s">
        <v>175</v>
      </c>
      <c r="T44" s="2" t="s">
        <v>482</v>
      </c>
      <c r="U44" s="2" t="n">
        <v>26</v>
      </c>
      <c r="V44" s="2" t="n">
        <v>33</v>
      </c>
      <c r="W44" s="2" t="n">
        <v>-7</v>
      </c>
      <c r="X44" s="2" t="n">
        <v>1</v>
      </c>
      <c r="Y44" s="2" t="n">
        <v>3</v>
      </c>
      <c r="Z44" s="2" t="n">
        <v>-1</v>
      </c>
      <c r="AA44" s="2" t="n">
        <v>2</v>
      </c>
      <c r="AB44" s="2" t="n">
        <v>70.69</v>
      </c>
      <c r="AC44" s="2" t="n">
        <v>66.15</v>
      </c>
      <c r="AD44" s="2" t="n">
        <v>0.6279</v>
      </c>
    </row>
    <row r="45" customFormat="false" ht="15" hidden="false" customHeight="false" outlineLevel="0" collapsed="false">
      <c r="A45" s="2" t="s">
        <v>84</v>
      </c>
      <c r="B45" s="2" t="s">
        <v>90</v>
      </c>
      <c r="C45" s="2" t="s">
        <v>95</v>
      </c>
      <c r="D45" s="2" t="n">
        <v>42</v>
      </c>
      <c r="E45" s="2" t="s">
        <v>104</v>
      </c>
      <c r="F45" s="2" t="n">
        <v>4</v>
      </c>
      <c r="G45" s="2" t="s">
        <v>546</v>
      </c>
      <c r="H45" s="2" t="s">
        <v>548</v>
      </c>
      <c r="I45" s="2" t="s">
        <v>123</v>
      </c>
      <c r="J45" s="2" t="s">
        <v>538</v>
      </c>
      <c r="K45" s="2" t="s">
        <v>350</v>
      </c>
      <c r="L45" s="2" t="s">
        <v>351</v>
      </c>
      <c r="M45" s="23" t="b">
        <f aca="false">FALSE()</f>
        <v>0</v>
      </c>
      <c r="N45" s="2"/>
      <c r="O45" s="2" t="s">
        <v>158</v>
      </c>
      <c r="P45" s="2" t="s">
        <v>164</v>
      </c>
      <c r="Q45" s="2" t="s">
        <v>362</v>
      </c>
      <c r="R45" s="2" t="s">
        <v>172</v>
      </c>
      <c r="S45" s="2" t="s">
        <v>481</v>
      </c>
      <c r="T45" s="2" t="s">
        <v>178</v>
      </c>
      <c r="U45" s="2" t="n">
        <v>33</v>
      </c>
      <c r="V45" s="2" t="n">
        <v>26</v>
      </c>
      <c r="W45" s="2" t="n">
        <v>7</v>
      </c>
      <c r="X45" s="2" t="n">
        <v>3</v>
      </c>
      <c r="Y45" s="2" t="n">
        <v>1</v>
      </c>
      <c r="Z45" s="2" t="n">
        <v>3</v>
      </c>
      <c r="AA45" s="2" t="n">
        <v>6</v>
      </c>
      <c r="AB45" s="2" t="n">
        <v>66.15</v>
      </c>
      <c r="AC45" s="2" t="n">
        <v>70.69</v>
      </c>
      <c r="AD45" s="2" t="n">
        <v>0.3721</v>
      </c>
    </row>
    <row r="46" customFormat="false" ht="15" hidden="false" customHeight="false" outlineLevel="0" collapsed="false">
      <c r="A46" s="2" t="s">
        <v>84</v>
      </c>
      <c r="B46" s="2" t="s">
        <v>90</v>
      </c>
      <c r="C46" s="2" t="s">
        <v>95</v>
      </c>
      <c r="D46" s="2" t="n">
        <v>42</v>
      </c>
      <c r="E46" s="2" t="s">
        <v>104</v>
      </c>
      <c r="F46" s="2" t="n">
        <v>4</v>
      </c>
      <c r="G46" s="2" t="s">
        <v>549</v>
      </c>
      <c r="H46" s="2" t="s">
        <v>550</v>
      </c>
      <c r="I46" s="2" t="s">
        <v>123</v>
      </c>
      <c r="J46" s="2" t="s">
        <v>538</v>
      </c>
      <c r="K46" s="2" t="s">
        <v>348</v>
      </c>
      <c r="L46" s="2" t="s">
        <v>349</v>
      </c>
      <c r="M46" s="23" t="b">
        <f aca="false">FALSE()</f>
        <v>0</v>
      </c>
      <c r="N46" s="2"/>
      <c r="O46" s="2" t="s">
        <v>158</v>
      </c>
      <c r="P46" s="2" t="s">
        <v>164</v>
      </c>
      <c r="Q46" s="2" t="s">
        <v>342</v>
      </c>
      <c r="R46" s="2" t="s">
        <v>343</v>
      </c>
      <c r="S46" s="2" t="s">
        <v>175</v>
      </c>
      <c r="T46" s="2" t="s">
        <v>178</v>
      </c>
      <c r="U46" s="2" t="n">
        <v>30</v>
      </c>
      <c r="V46" s="2" t="n">
        <v>25</v>
      </c>
      <c r="W46" s="2" t="n">
        <v>5</v>
      </c>
      <c r="X46" s="2" t="n">
        <v>3</v>
      </c>
      <c r="Y46" s="2" t="n">
        <v>1</v>
      </c>
      <c r="Z46" s="2" t="n">
        <v>2</v>
      </c>
      <c r="AA46" s="2" t="n">
        <v>6</v>
      </c>
      <c r="AB46" s="2" t="n">
        <v>73.44</v>
      </c>
      <c r="AC46" s="2" t="n">
        <v>69.16</v>
      </c>
      <c r="AD46" s="2" t="n">
        <v>0.6231</v>
      </c>
    </row>
    <row r="47" customFormat="false" ht="15" hidden="false" customHeight="false" outlineLevel="0" collapsed="false">
      <c r="A47" s="2" t="s">
        <v>84</v>
      </c>
      <c r="B47" s="2" t="s">
        <v>90</v>
      </c>
      <c r="C47" s="2" t="s">
        <v>95</v>
      </c>
      <c r="D47" s="2" t="n">
        <v>42</v>
      </c>
      <c r="E47" s="2" t="s">
        <v>104</v>
      </c>
      <c r="F47" s="2" t="n">
        <v>4</v>
      </c>
      <c r="G47" s="2" t="s">
        <v>549</v>
      </c>
      <c r="H47" s="2" t="s">
        <v>551</v>
      </c>
      <c r="I47" s="2" t="s">
        <v>123</v>
      </c>
      <c r="J47" s="2" t="s">
        <v>538</v>
      </c>
      <c r="K47" s="2" t="s">
        <v>342</v>
      </c>
      <c r="L47" s="2" t="s">
        <v>343</v>
      </c>
      <c r="M47" s="23" t="b">
        <f aca="false">FALSE()</f>
        <v>0</v>
      </c>
      <c r="N47" s="2"/>
      <c r="O47" s="2" t="s">
        <v>158</v>
      </c>
      <c r="P47" s="2" t="s">
        <v>164</v>
      </c>
      <c r="Q47" s="2" t="s">
        <v>348</v>
      </c>
      <c r="R47" s="2" t="s">
        <v>349</v>
      </c>
      <c r="S47" s="2" t="s">
        <v>481</v>
      </c>
      <c r="T47" s="2" t="s">
        <v>482</v>
      </c>
      <c r="U47" s="2" t="n">
        <v>25</v>
      </c>
      <c r="V47" s="2" t="n">
        <v>30</v>
      </c>
      <c r="W47" s="2" t="n">
        <v>-5</v>
      </c>
      <c r="X47" s="2" t="n">
        <v>1</v>
      </c>
      <c r="Y47" s="2" t="n">
        <v>3</v>
      </c>
      <c r="Z47" s="2" t="n">
        <v>-2</v>
      </c>
      <c r="AA47" s="2" t="n">
        <v>2</v>
      </c>
      <c r="AB47" s="2" t="n">
        <v>69.16</v>
      </c>
      <c r="AC47" s="2" t="n">
        <v>73.44</v>
      </c>
      <c r="AD47" s="2" t="n">
        <v>0.3769</v>
      </c>
    </row>
    <row r="48" customFormat="false" ht="15" hidden="false" customHeight="false" outlineLevel="0" collapsed="false">
      <c r="A48" s="2" t="s">
        <v>84</v>
      </c>
      <c r="B48" s="2" t="s">
        <v>90</v>
      </c>
      <c r="C48" s="2" t="s">
        <v>95</v>
      </c>
      <c r="D48" s="2" t="n">
        <v>42</v>
      </c>
      <c r="E48" s="2" t="s">
        <v>104</v>
      </c>
      <c r="F48" s="2" t="n">
        <v>4</v>
      </c>
      <c r="G48" s="2" t="s">
        <v>552</v>
      </c>
      <c r="H48" s="2" t="s">
        <v>553</v>
      </c>
      <c r="I48" s="2" t="s">
        <v>123</v>
      </c>
      <c r="J48" s="2" t="s">
        <v>538</v>
      </c>
      <c r="K48" s="2" t="s">
        <v>344</v>
      </c>
      <c r="L48" s="2" t="s">
        <v>345</v>
      </c>
      <c r="M48" s="23" t="b">
        <f aca="false">FALSE()</f>
        <v>0</v>
      </c>
      <c r="N48" s="2"/>
      <c r="O48" s="2" t="s">
        <v>158</v>
      </c>
      <c r="P48" s="2" t="s">
        <v>164</v>
      </c>
      <c r="Q48" s="2" t="s">
        <v>346</v>
      </c>
      <c r="R48" s="2" t="s">
        <v>347</v>
      </c>
      <c r="S48" s="2" t="s">
        <v>175</v>
      </c>
      <c r="T48" s="2" t="s">
        <v>178</v>
      </c>
      <c r="U48" s="2" t="n">
        <v>48</v>
      </c>
      <c r="V48" s="2" t="n">
        <v>23</v>
      </c>
      <c r="W48" s="2" t="n">
        <v>25</v>
      </c>
      <c r="X48" s="2" t="n">
        <v>2</v>
      </c>
      <c r="Y48" s="2" t="n">
        <v>2</v>
      </c>
      <c r="Z48" s="2" t="n">
        <v>1</v>
      </c>
      <c r="AA48" s="2" t="n">
        <v>4</v>
      </c>
      <c r="AB48" s="2" t="n">
        <v>63.04</v>
      </c>
      <c r="AC48" s="2" t="n">
        <v>76.13</v>
      </c>
      <c r="AD48" s="2" t="n">
        <v>0.2915</v>
      </c>
    </row>
    <row r="49" customFormat="false" ht="15" hidden="false" customHeight="false" outlineLevel="0" collapsed="false">
      <c r="A49" s="2" t="s">
        <v>84</v>
      </c>
      <c r="B49" s="2" t="s">
        <v>90</v>
      </c>
      <c r="C49" s="2" t="s">
        <v>95</v>
      </c>
      <c r="D49" s="2" t="n">
        <v>42</v>
      </c>
      <c r="E49" s="2" t="s">
        <v>104</v>
      </c>
      <c r="F49" s="2" t="n">
        <v>4</v>
      </c>
      <c r="G49" s="2" t="s">
        <v>552</v>
      </c>
      <c r="H49" s="2" t="s">
        <v>554</v>
      </c>
      <c r="I49" s="2" t="s">
        <v>123</v>
      </c>
      <c r="J49" s="2" t="s">
        <v>538</v>
      </c>
      <c r="K49" s="2" t="s">
        <v>346</v>
      </c>
      <c r="L49" s="2" t="s">
        <v>347</v>
      </c>
      <c r="M49" s="23" t="b">
        <f aca="false">FALSE()</f>
        <v>0</v>
      </c>
      <c r="N49" s="2"/>
      <c r="O49" s="2" t="s">
        <v>158</v>
      </c>
      <c r="P49" s="2" t="s">
        <v>164</v>
      </c>
      <c r="Q49" s="2" t="s">
        <v>344</v>
      </c>
      <c r="R49" s="2" t="s">
        <v>345</v>
      </c>
      <c r="S49" s="2" t="s">
        <v>481</v>
      </c>
      <c r="T49" s="2" t="s">
        <v>482</v>
      </c>
      <c r="U49" s="2" t="n">
        <v>23</v>
      </c>
      <c r="V49" s="2" t="n">
        <v>48</v>
      </c>
      <c r="W49" s="2" t="n">
        <v>-25</v>
      </c>
      <c r="X49" s="2" t="n">
        <v>1</v>
      </c>
      <c r="Y49" s="2" t="n">
        <v>3</v>
      </c>
      <c r="Z49" s="2" t="n">
        <v>-2</v>
      </c>
      <c r="AA49" s="2" t="n">
        <v>2</v>
      </c>
      <c r="AB49" s="2" t="n">
        <v>76.13</v>
      </c>
      <c r="AC49" s="2" t="n">
        <v>63.04</v>
      </c>
      <c r="AD49" s="2" t="n">
        <v>0.7085</v>
      </c>
    </row>
    <row r="50" customFormat="false" ht="15" hidden="false" customHeight="false" outlineLevel="0" collapsed="false">
      <c r="A50" s="2" t="s">
        <v>84</v>
      </c>
      <c r="B50" s="2" t="s">
        <v>90</v>
      </c>
      <c r="C50" s="2" t="s">
        <v>95</v>
      </c>
      <c r="D50" s="2" t="n">
        <v>42</v>
      </c>
      <c r="E50" s="2" t="s">
        <v>104</v>
      </c>
      <c r="F50" s="2" t="n">
        <v>5</v>
      </c>
      <c r="G50" s="2" t="s">
        <v>555</v>
      </c>
      <c r="H50" s="2" t="s">
        <v>556</v>
      </c>
      <c r="I50" s="2" t="s">
        <v>123</v>
      </c>
      <c r="J50" s="2" t="s">
        <v>557</v>
      </c>
      <c r="K50" s="2" t="s">
        <v>341</v>
      </c>
      <c r="L50" s="2" t="s">
        <v>140</v>
      </c>
      <c r="M50" s="23" t="b">
        <f aca="false">FALSE()</f>
        <v>0</v>
      </c>
      <c r="N50" s="2"/>
      <c r="O50" s="2" t="s">
        <v>158</v>
      </c>
      <c r="P50" s="2" t="s">
        <v>164</v>
      </c>
      <c r="Q50" s="2" t="s">
        <v>354</v>
      </c>
      <c r="R50" s="2" t="s">
        <v>355</v>
      </c>
      <c r="S50" s="2" t="s">
        <v>175</v>
      </c>
      <c r="T50" s="2" t="s">
        <v>482</v>
      </c>
      <c r="U50" s="2" t="n">
        <v>17</v>
      </c>
      <c r="V50" s="2" t="n">
        <v>34</v>
      </c>
      <c r="W50" s="2" t="n">
        <v>-17</v>
      </c>
      <c r="X50" s="2" t="n">
        <v>3</v>
      </c>
      <c r="Y50" s="2" t="n">
        <v>2</v>
      </c>
      <c r="Z50" s="2" t="n">
        <v>-1</v>
      </c>
      <c r="AA50" s="2" t="n">
        <v>6</v>
      </c>
      <c r="AB50" s="2" t="n">
        <v>83.18</v>
      </c>
      <c r="AC50" s="2" t="n">
        <v>71.54</v>
      </c>
      <c r="AD50" s="2" t="n">
        <v>0.7487</v>
      </c>
    </row>
    <row r="51" customFormat="false" ht="15" hidden="false" customHeight="false" outlineLevel="0" collapsed="false">
      <c r="A51" s="2" t="s">
        <v>84</v>
      </c>
      <c r="B51" s="2" t="s">
        <v>90</v>
      </c>
      <c r="C51" s="2" t="s">
        <v>95</v>
      </c>
      <c r="D51" s="2" t="n">
        <v>42</v>
      </c>
      <c r="E51" s="2" t="s">
        <v>104</v>
      </c>
      <c r="F51" s="2" t="n">
        <v>5</v>
      </c>
      <c r="G51" s="2" t="s">
        <v>555</v>
      </c>
      <c r="H51" s="2" t="s">
        <v>558</v>
      </c>
      <c r="I51" s="2" t="s">
        <v>123</v>
      </c>
      <c r="J51" s="2" t="s">
        <v>557</v>
      </c>
      <c r="K51" s="2" t="s">
        <v>354</v>
      </c>
      <c r="L51" s="2" t="s">
        <v>355</v>
      </c>
      <c r="M51" s="23" t="b">
        <f aca="false">FALSE()</f>
        <v>0</v>
      </c>
      <c r="N51" s="2"/>
      <c r="O51" s="2" t="s">
        <v>158</v>
      </c>
      <c r="P51" s="2" t="s">
        <v>236</v>
      </c>
      <c r="Q51" s="2" t="s">
        <v>341</v>
      </c>
      <c r="R51" s="2" t="s">
        <v>140</v>
      </c>
      <c r="S51" s="2" t="s">
        <v>481</v>
      </c>
      <c r="T51" s="2" t="s">
        <v>178</v>
      </c>
      <c r="U51" s="2" t="n">
        <v>34</v>
      </c>
      <c r="V51" s="2" t="n">
        <v>17</v>
      </c>
      <c r="W51" s="2" t="n">
        <v>17</v>
      </c>
      <c r="X51" s="2" t="n">
        <v>2</v>
      </c>
      <c r="Y51" s="2" t="n">
        <v>3</v>
      </c>
      <c r="Z51" s="2" t="n">
        <v>2</v>
      </c>
      <c r="AA51" s="2" t="n">
        <v>4</v>
      </c>
      <c r="AB51" s="2" t="n">
        <v>71.54</v>
      </c>
      <c r="AC51" s="2" t="n">
        <v>83.18</v>
      </c>
      <c r="AD51" s="2" t="n">
        <v>0.2513</v>
      </c>
    </row>
    <row r="52" customFormat="false" ht="15" hidden="false" customHeight="false" outlineLevel="0" collapsed="false">
      <c r="A52" s="2" t="s">
        <v>84</v>
      </c>
      <c r="B52" s="2" t="s">
        <v>90</v>
      </c>
      <c r="C52" s="2" t="s">
        <v>95</v>
      </c>
      <c r="D52" s="2" t="n">
        <v>42</v>
      </c>
      <c r="E52" s="2" t="s">
        <v>104</v>
      </c>
      <c r="F52" s="2" t="n">
        <v>5</v>
      </c>
      <c r="G52" s="2" t="s">
        <v>559</v>
      </c>
      <c r="H52" s="2" t="s">
        <v>560</v>
      </c>
      <c r="I52" s="2" t="s">
        <v>123</v>
      </c>
      <c r="J52" s="2" t="s">
        <v>557</v>
      </c>
      <c r="K52" s="2" t="s">
        <v>352</v>
      </c>
      <c r="L52" s="2" t="s">
        <v>353</v>
      </c>
      <c r="M52" s="23" t="b">
        <f aca="false">FALSE()</f>
        <v>0</v>
      </c>
      <c r="N52" s="2"/>
      <c r="O52" s="2" t="s">
        <v>158</v>
      </c>
      <c r="P52" s="2" t="s">
        <v>236</v>
      </c>
      <c r="Q52" s="2" t="s">
        <v>356</v>
      </c>
      <c r="R52" s="2" t="s">
        <v>357</v>
      </c>
      <c r="S52" s="2" t="s">
        <v>175</v>
      </c>
      <c r="T52" s="2" t="s">
        <v>178</v>
      </c>
      <c r="U52" s="2" t="n">
        <v>27</v>
      </c>
      <c r="V52" s="2" t="n">
        <v>26</v>
      </c>
      <c r="W52" s="2" t="n">
        <v>1</v>
      </c>
      <c r="X52" s="2" t="n">
        <v>3</v>
      </c>
      <c r="Y52" s="2" t="n">
        <v>2</v>
      </c>
      <c r="Z52" s="2" t="n">
        <v>1</v>
      </c>
      <c r="AA52" s="2" t="n">
        <v>6</v>
      </c>
      <c r="AB52" s="2" t="n">
        <v>76.32</v>
      </c>
      <c r="AC52" s="2" t="n">
        <v>68.39</v>
      </c>
      <c r="AD52" s="2" t="n">
        <v>0.6888</v>
      </c>
    </row>
    <row r="53" customFormat="false" ht="15" hidden="false" customHeight="false" outlineLevel="0" collapsed="false">
      <c r="A53" s="2" t="s">
        <v>84</v>
      </c>
      <c r="B53" s="2" t="s">
        <v>90</v>
      </c>
      <c r="C53" s="2" t="s">
        <v>95</v>
      </c>
      <c r="D53" s="2" t="n">
        <v>42</v>
      </c>
      <c r="E53" s="2" t="s">
        <v>104</v>
      </c>
      <c r="F53" s="2" t="n">
        <v>5</v>
      </c>
      <c r="G53" s="2" t="s">
        <v>559</v>
      </c>
      <c r="H53" s="2" t="s">
        <v>561</v>
      </c>
      <c r="I53" s="2" t="s">
        <v>123</v>
      </c>
      <c r="J53" s="2" t="s">
        <v>557</v>
      </c>
      <c r="K53" s="2" t="s">
        <v>356</v>
      </c>
      <c r="L53" s="2" t="s">
        <v>357</v>
      </c>
      <c r="M53" s="23" t="b">
        <f aca="false">FALSE()</f>
        <v>0</v>
      </c>
      <c r="N53" s="2"/>
      <c r="O53" s="2" t="s">
        <v>158</v>
      </c>
      <c r="P53" s="2" t="s">
        <v>236</v>
      </c>
      <c r="Q53" s="2" t="s">
        <v>352</v>
      </c>
      <c r="R53" s="2" t="s">
        <v>353</v>
      </c>
      <c r="S53" s="2" t="s">
        <v>481</v>
      </c>
      <c r="T53" s="2" t="s">
        <v>482</v>
      </c>
      <c r="U53" s="2" t="n">
        <v>26</v>
      </c>
      <c r="V53" s="2" t="n">
        <v>27</v>
      </c>
      <c r="W53" s="2" t="n">
        <v>-1</v>
      </c>
      <c r="X53" s="2" t="n">
        <v>2</v>
      </c>
      <c r="Y53" s="2" t="n">
        <v>3</v>
      </c>
      <c r="Z53" s="2" t="n">
        <v>-2</v>
      </c>
      <c r="AA53" s="2" t="n">
        <v>4</v>
      </c>
      <c r="AB53" s="2" t="n">
        <v>68.39</v>
      </c>
      <c r="AC53" s="2" t="n">
        <v>76.32</v>
      </c>
      <c r="AD53" s="2" t="n">
        <v>0.3112</v>
      </c>
    </row>
    <row r="54" customFormat="false" ht="15" hidden="false" customHeight="false" outlineLevel="0" collapsed="false">
      <c r="A54" s="2" t="s">
        <v>84</v>
      </c>
      <c r="B54" s="2" t="s">
        <v>90</v>
      </c>
      <c r="C54" s="2" t="s">
        <v>95</v>
      </c>
      <c r="D54" s="2" t="n">
        <v>42</v>
      </c>
      <c r="E54" s="2" t="s">
        <v>104</v>
      </c>
      <c r="F54" s="2" t="n">
        <v>5</v>
      </c>
      <c r="G54" s="2" t="s">
        <v>562</v>
      </c>
      <c r="H54" s="2" t="s">
        <v>563</v>
      </c>
      <c r="I54" s="2" t="s">
        <v>123</v>
      </c>
      <c r="J54" s="2" t="s">
        <v>557</v>
      </c>
      <c r="K54" s="2" t="s">
        <v>358</v>
      </c>
      <c r="L54" s="2" t="s">
        <v>359</v>
      </c>
      <c r="M54" s="23" t="b">
        <f aca="false">FALSE()</f>
        <v>0</v>
      </c>
      <c r="N54" s="2"/>
      <c r="O54" s="2" t="s">
        <v>158</v>
      </c>
      <c r="P54" s="2" t="s">
        <v>236</v>
      </c>
      <c r="Q54" s="2" t="s">
        <v>350</v>
      </c>
      <c r="R54" s="2" t="s">
        <v>351</v>
      </c>
      <c r="S54" s="2" t="s">
        <v>175</v>
      </c>
      <c r="T54" s="2" t="s">
        <v>178</v>
      </c>
      <c r="U54" s="2" t="n">
        <v>33</v>
      </c>
      <c r="V54" s="2" t="n">
        <v>20</v>
      </c>
      <c r="W54" s="2" t="n">
        <v>13</v>
      </c>
      <c r="X54" s="2" t="n">
        <v>4</v>
      </c>
      <c r="Y54" s="2" t="n">
        <v>1</v>
      </c>
      <c r="Z54" s="2" t="n">
        <v>1</v>
      </c>
      <c r="AA54" s="2" t="n">
        <v>8</v>
      </c>
      <c r="AB54" s="2" t="n">
        <v>65.53</v>
      </c>
      <c r="AC54" s="2" t="n">
        <v>66.15</v>
      </c>
      <c r="AD54" s="2" t="n">
        <v>0.5275</v>
      </c>
    </row>
    <row r="55" customFormat="false" ht="15" hidden="false" customHeight="false" outlineLevel="0" collapsed="false">
      <c r="A55" s="2" t="s">
        <v>84</v>
      </c>
      <c r="B55" s="2" t="s">
        <v>90</v>
      </c>
      <c r="C55" s="2" t="s">
        <v>95</v>
      </c>
      <c r="D55" s="2" t="n">
        <v>42</v>
      </c>
      <c r="E55" s="2" t="s">
        <v>104</v>
      </c>
      <c r="F55" s="2" t="n">
        <v>5</v>
      </c>
      <c r="G55" s="2" t="s">
        <v>562</v>
      </c>
      <c r="H55" s="2" t="s">
        <v>564</v>
      </c>
      <c r="I55" s="2" t="s">
        <v>123</v>
      </c>
      <c r="J55" s="2" t="s">
        <v>557</v>
      </c>
      <c r="K55" s="2" t="s">
        <v>350</v>
      </c>
      <c r="L55" s="2" t="s">
        <v>351</v>
      </c>
      <c r="M55" s="23" t="b">
        <f aca="false">FALSE()</f>
        <v>0</v>
      </c>
      <c r="N55" s="2"/>
      <c r="O55" s="2" t="s">
        <v>158</v>
      </c>
      <c r="P55" s="2" t="s">
        <v>164</v>
      </c>
      <c r="Q55" s="2" t="s">
        <v>358</v>
      </c>
      <c r="R55" s="2" t="s">
        <v>359</v>
      </c>
      <c r="S55" s="2" t="s">
        <v>481</v>
      </c>
      <c r="T55" s="2" t="s">
        <v>482</v>
      </c>
      <c r="U55" s="2" t="n">
        <v>20</v>
      </c>
      <c r="V55" s="2" t="n">
        <v>33</v>
      </c>
      <c r="W55" s="2" t="n">
        <v>-13</v>
      </c>
      <c r="X55" s="2" t="n">
        <v>3</v>
      </c>
      <c r="Y55" s="2" t="n">
        <v>2</v>
      </c>
      <c r="Z55" s="2" t="n">
        <v>-1</v>
      </c>
      <c r="AA55" s="2" t="n">
        <v>6</v>
      </c>
      <c r="AB55" s="2" t="n">
        <v>66.15</v>
      </c>
      <c r="AC55" s="2" t="n">
        <v>65.53</v>
      </c>
      <c r="AD55" s="2" t="n">
        <v>0.4725</v>
      </c>
    </row>
    <row r="56" customFormat="false" ht="15" hidden="false" customHeight="false" outlineLevel="0" collapsed="false">
      <c r="A56" s="2" t="s">
        <v>84</v>
      </c>
      <c r="B56" s="2" t="s">
        <v>90</v>
      </c>
      <c r="C56" s="2" t="s">
        <v>95</v>
      </c>
      <c r="D56" s="2" t="n">
        <v>42</v>
      </c>
      <c r="E56" s="2" t="s">
        <v>104</v>
      </c>
      <c r="F56" s="2" t="n">
        <v>5</v>
      </c>
      <c r="G56" s="2" t="s">
        <v>565</v>
      </c>
      <c r="H56" s="2" t="s">
        <v>566</v>
      </c>
      <c r="I56" s="2" t="s">
        <v>123</v>
      </c>
      <c r="J56" s="2" t="s">
        <v>557</v>
      </c>
      <c r="K56" s="2" t="s">
        <v>348</v>
      </c>
      <c r="L56" s="2" t="s">
        <v>349</v>
      </c>
      <c r="M56" s="23" t="b">
        <f aca="false">FALSE()</f>
        <v>0</v>
      </c>
      <c r="N56" s="2"/>
      <c r="O56" s="2" t="s">
        <v>158</v>
      </c>
      <c r="P56" s="2" t="s">
        <v>164</v>
      </c>
      <c r="Q56" s="2" t="s">
        <v>360</v>
      </c>
      <c r="R56" s="2" t="s">
        <v>361</v>
      </c>
      <c r="S56" s="2" t="s">
        <v>175</v>
      </c>
      <c r="T56" s="2" t="s">
        <v>178</v>
      </c>
      <c r="U56" s="2" t="n">
        <v>11</v>
      </c>
      <c r="V56" s="2" t="n">
        <v>9</v>
      </c>
      <c r="W56" s="2" t="n">
        <v>2</v>
      </c>
      <c r="X56" s="2" t="n">
        <v>4</v>
      </c>
      <c r="Y56" s="2" t="n">
        <v>1</v>
      </c>
      <c r="Z56" s="2" t="n">
        <v>3</v>
      </c>
      <c r="AA56" s="2" t="n">
        <v>8</v>
      </c>
      <c r="AB56" s="2" t="n">
        <v>73.44</v>
      </c>
      <c r="AC56" s="2" t="n">
        <v>58.14</v>
      </c>
      <c r="AD56" s="2" t="n">
        <v>0.7996</v>
      </c>
    </row>
    <row r="57" customFormat="false" ht="15" hidden="false" customHeight="false" outlineLevel="0" collapsed="false">
      <c r="A57" s="2" t="s">
        <v>84</v>
      </c>
      <c r="B57" s="2" t="s">
        <v>90</v>
      </c>
      <c r="C57" s="2" t="s">
        <v>95</v>
      </c>
      <c r="D57" s="2" t="n">
        <v>42</v>
      </c>
      <c r="E57" s="2" t="s">
        <v>104</v>
      </c>
      <c r="F57" s="2" t="n">
        <v>5</v>
      </c>
      <c r="G57" s="2" t="s">
        <v>565</v>
      </c>
      <c r="H57" s="2" t="s">
        <v>567</v>
      </c>
      <c r="I57" s="2" t="s">
        <v>123</v>
      </c>
      <c r="J57" s="2" t="s">
        <v>557</v>
      </c>
      <c r="K57" s="2" t="s">
        <v>360</v>
      </c>
      <c r="L57" s="2" t="s">
        <v>361</v>
      </c>
      <c r="M57" s="23" t="b">
        <f aca="false">FALSE()</f>
        <v>0</v>
      </c>
      <c r="N57" s="2"/>
      <c r="O57" s="2" t="s">
        <v>158</v>
      </c>
      <c r="P57" s="2" t="s">
        <v>236</v>
      </c>
      <c r="Q57" s="2" t="s">
        <v>348</v>
      </c>
      <c r="R57" s="2" t="s">
        <v>349</v>
      </c>
      <c r="S57" s="2" t="s">
        <v>481</v>
      </c>
      <c r="T57" s="2" t="s">
        <v>482</v>
      </c>
      <c r="U57" s="2" t="n">
        <v>9</v>
      </c>
      <c r="V57" s="2" t="n">
        <v>11</v>
      </c>
      <c r="W57" s="2" t="n">
        <v>-2</v>
      </c>
      <c r="X57" s="2" t="n">
        <v>2</v>
      </c>
      <c r="Y57" s="2" t="n">
        <v>3</v>
      </c>
      <c r="Z57" s="2" t="n">
        <v>-1</v>
      </c>
      <c r="AA57" s="2" t="n">
        <v>4</v>
      </c>
      <c r="AB57" s="2" t="n">
        <v>58.14</v>
      </c>
      <c r="AC57" s="2" t="n">
        <v>73.44</v>
      </c>
      <c r="AD57" s="2" t="n">
        <v>0.2004</v>
      </c>
    </row>
    <row r="58" customFormat="false" ht="15" hidden="false" customHeight="false" outlineLevel="0" collapsed="false">
      <c r="A58" s="2" t="s">
        <v>84</v>
      </c>
      <c r="B58" s="2" t="s">
        <v>90</v>
      </c>
      <c r="C58" s="2" t="s">
        <v>95</v>
      </c>
      <c r="D58" s="2" t="n">
        <v>42</v>
      </c>
      <c r="E58" s="2" t="s">
        <v>104</v>
      </c>
      <c r="F58" s="2" t="n">
        <v>5</v>
      </c>
      <c r="G58" s="2" t="s">
        <v>568</v>
      </c>
      <c r="H58" s="2" t="s">
        <v>569</v>
      </c>
      <c r="I58" s="2" t="s">
        <v>123</v>
      </c>
      <c r="J58" s="2" t="s">
        <v>557</v>
      </c>
      <c r="K58" s="2" t="s">
        <v>362</v>
      </c>
      <c r="L58" s="2" t="s">
        <v>172</v>
      </c>
      <c r="M58" s="23" t="b">
        <f aca="false">TRUE()</f>
        <v>1</v>
      </c>
      <c r="N58" s="2" t="s">
        <v>152</v>
      </c>
      <c r="O58" s="2" t="s">
        <v>158</v>
      </c>
      <c r="P58" s="2" t="s">
        <v>236</v>
      </c>
      <c r="Q58" s="2" t="s">
        <v>346</v>
      </c>
      <c r="R58" s="2" t="s">
        <v>347</v>
      </c>
      <c r="S58" s="2" t="s">
        <v>175</v>
      </c>
      <c r="T58" s="2" t="s">
        <v>178</v>
      </c>
      <c r="U58" s="2" t="n">
        <v>56</v>
      </c>
      <c r="V58" s="2" t="n">
        <v>24</v>
      </c>
      <c r="W58" s="2" t="n">
        <v>32</v>
      </c>
      <c r="X58" s="2" t="n">
        <v>2</v>
      </c>
      <c r="Y58" s="2" t="n">
        <v>3</v>
      </c>
      <c r="Z58" s="2" t="n">
        <v>1</v>
      </c>
      <c r="AA58" s="2" t="n">
        <v>4</v>
      </c>
      <c r="AB58" s="2" t="n">
        <v>70.69</v>
      </c>
      <c r="AC58" s="2" t="n">
        <v>76.13</v>
      </c>
      <c r="AD58" s="2" t="n">
        <v>0.4315</v>
      </c>
    </row>
    <row r="59" customFormat="false" ht="15" hidden="false" customHeight="false" outlineLevel="0" collapsed="false">
      <c r="A59" s="2" t="s">
        <v>84</v>
      </c>
      <c r="B59" s="2" t="s">
        <v>90</v>
      </c>
      <c r="C59" s="2" t="s">
        <v>95</v>
      </c>
      <c r="D59" s="2" t="n">
        <v>42</v>
      </c>
      <c r="E59" s="2" t="s">
        <v>104</v>
      </c>
      <c r="F59" s="2" t="n">
        <v>5</v>
      </c>
      <c r="G59" s="2" t="s">
        <v>568</v>
      </c>
      <c r="H59" s="2" t="s">
        <v>570</v>
      </c>
      <c r="I59" s="2" t="s">
        <v>123</v>
      </c>
      <c r="J59" s="2" t="s">
        <v>557</v>
      </c>
      <c r="K59" s="2" t="s">
        <v>346</v>
      </c>
      <c r="L59" s="2" t="s">
        <v>347</v>
      </c>
      <c r="M59" s="23" t="b">
        <f aca="false">FALSE()</f>
        <v>0</v>
      </c>
      <c r="N59" s="2"/>
      <c r="O59" s="2" t="s">
        <v>158</v>
      </c>
      <c r="P59" s="2" t="s">
        <v>164</v>
      </c>
      <c r="Q59" s="2" t="s">
        <v>362</v>
      </c>
      <c r="R59" s="2" t="s">
        <v>172</v>
      </c>
      <c r="S59" s="2" t="s">
        <v>481</v>
      </c>
      <c r="T59" s="2" t="s">
        <v>482</v>
      </c>
      <c r="U59" s="2" t="n">
        <v>24</v>
      </c>
      <c r="V59" s="2" t="n">
        <v>56</v>
      </c>
      <c r="W59" s="2" t="n">
        <v>-32</v>
      </c>
      <c r="X59" s="2" t="n">
        <v>1</v>
      </c>
      <c r="Y59" s="2" t="n">
        <v>4</v>
      </c>
      <c r="Z59" s="2" t="n">
        <v>-3</v>
      </c>
      <c r="AA59" s="2" t="n">
        <v>2</v>
      </c>
      <c r="AB59" s="2" t="n">
        <v>76.13</v>
      </c>
      <c r="AC59" s="2" t="n">
        <v>70.69</v>
      </c>
      <c r="AD59" s="2" t="n">
        <v>0.5685</v>
      </c>
    </row>
    <row r="60" customFormat="false" ht="15" hidden="false" customHeight="false" outlineLevel="0" collapsed="false">
      <c r="A60" s="2" t="s">
        <v>84</v>
      </c>
      <c r="B60" s="2" t="s">
        <v>90</v>
      </c>
      <c r="C60" s="2" t="s">
        <v>95</v>
      </c>
      <c r="D60" s="2" t="n">
        <v>42</v>
      </c>
      <c r="E60" s="2" t="s">
        <v>104</v>
      </c>
      <c r="F60" s="2" t="n">
        <v>5</v>
      </c>
      <c r="G60" s="2" t="s">
        <v>571</v>
      </c>
      <c r="H60" s="2" t="s">
        <v>572</v>
      </c>
      <c r="I60" s="2" t="s">
        <v>123</v>
      </c>
      <c r="J60" s="2" t="s">
        <v>557</v>
      </c>
      <c r="K60" s="2" t="s">
        <v>344</v>
      </c>
      <c r="L60" s="2" t="s">
        <v>345</v>
      </c>
      <c r="M60" s="23" t="b">
        <f aca="false">FALSE()</f>
        <v>0</v>
      </c>
      <c r="N60" s="2"/>
      <c r="O60" s="2" t="s">
        <v>158</v>
      </c>
      <c r="P60" s="2" t="s">
        <v>164</v>
      </c>
      <c r="Q60" s="2" t="s">
        <v>342</v>
      </c>
      <c r="R60" s="2" t="s">
        <v>343</v>
      </c>
      <c r="S60" s="2" t="s">
        <v>175</v>
      </c>
      <c r="T60" s="2" t="s">
        <v>482</v>
      </c>
      <c r="U60" s="2" t="n">
        <v>22</v>
      </c>
      <c r="V60" s="2" t="n">
        <v>28</v>
      </c>
      <c r="W60" s="2" t="n">
        <v>-6</v>
      </c>
      <c r="X60" s="2" t="n">
        <v>2</v>
      </c>
      <c r="Y60" s="2" t="n">
        <v>3</v>
      </c>
      <c r="Z60" s="2" t="n">
        <v>-1</v>
      </c>
      <c r="AA60" s="2" t="n">
        <v>4</v>
      </c>
      <c r="AB60" s="2" t="n">
        <v>63.04</v>
      </c>
      <c r="AC60" s="2" t="n">
        <v>69.16</v>
      </c>
      <c r="AD60" s="2" t="n">
        <v>0.4183</v>
      </c>
    </row>
    <row r="61" customFormat="false" ht="15" hidden="false" customHeight="false" outlineLevel="0" collapsed="false">
      <c r="A61" s="2" t="s">
        <v>84</v>
      </c>
      <c r="B61" s="2" t="s">
        <v>90</v>
      </c>
      <c r="C61" s="2" t="s">
        <v>95</v>
      </c>
      <c r="D61" s="2" t="n">
        <v>42</v>
      </c>
      <c r="E61" s="2" t="s">
        <v>104</v>
      </c>
      <c r="F61" s="2" t="n">
        <v>5</v>
      </c>
      <c r="G61" s="2" t="s">
        <v>571</v>
      </c>
      <c r="H61" s="2" t="s">
        <v>573</v>
      </c>
      <c r="I61" s="2" t="s">
        <v>123</v>
      </c>
      <c r="J61" s="2" t="s">
        <v>557</v>
      </c>
      <c r="K61" s="2" t="s">
        <v>342</v>
      </c>
      <c r="L61" s="2" t="s">
        <v>343</v>
      </c>
      <c r="M61" s="23" t="b">
        <f aca="false">FALSE()</f>
        <v>0</v>
      </c>
      <c r="N61" s="2"/>
      <c r="O61" s="2" t="s">
        <v>158</v>
      </c>
      <c r="P61" s="2" t="s">
        <v>164</v>
      </c>
      <c r="Q61" s="2" t="s">
        <v>344</v>
      </c>
      <c r="R61" s="2" t="s">
        <v>345</v>
      </c>
      <c r="S61" s="2" t="s">
        <v>481</v>
      </c>
      <c r="T61" s="2" t="s">
        <v>178</v>
      </c>
      <c r="U61" s="2" t="n">
        <v>28</v>
      </c>
      <c r="V61" s="2" t="n">
        <v>22</v>
      </c>
      <c r="W61" s="2" t="n">
        <v>6</v>
      </c>
      <c r="X61" s="2" t="n">
        <v>2</v>
      </c>
      <c r="Y61" s="2" t="n">
        <v>3</v>
      </c>
      <c r="Z61" s="2" t="n">
        <v>1</v>
      </c>
      <c r="AA61" s="2" t="n">
        <v>4</v>
      </c>
      <c r="AB61" s="2" t="n">
        <v>69.16</v>
      </c>
      <c r="AC61" s="2" t="n">
        <v>63.04</v>
      </c>
      <c r="AD61" s="2" t="n">
        <v>0.5817</v>
      </c>
    </row>
    <row r="62" customFormat="false" ht="15" hidden="false" customHeight="false" outlineLevel="0" collapsed="false">
      <c r="A62" s="2" t="s">
        <v>84</v>
      </c>
      <c r="B62" s="2" t="s">
        <v>90</v>
      </c>
      <c r="C62" s="2" t="s">
        <v>95</v>
      </c>
      <c r="D62" s="2" t="n">
        <v>42</v>
      </c>
      <c r="E62" s="2" t="s">
        <v>104</v>
      </c>
      <c r="F62" s="2" t="n">
        <v>6</v>
      </c>
      <c r="G62" s="2" t="s">
        <v>574</v>
      </c>
      <c r="H62" s="2" t="s">
        <v>575</v>
      </c>
      <c r="I62" s="2" t="s">
        <v>123</v>
      </c>
      <c r="J62" s="2" t="s">
        <v>576</v>
      </c>
      <c r="K62" s="2" t="s">
        <v>352</v>
      </c>
      <c r="L62" s="2" t="s">
        <v>353</v>
      </c>
      <c r="M62" s="23" t="b">
        <f aca="false">FALSE()</f>
        <v>0</v>
      </c>
      <c r="N62" s="2"/>
      <c r="O62" s="2" t="s">
        <v>158</v>
      </c>
      <c r="P62" s="2" t="s">
        <v>236</v>
      </c>
      <c r="Q62" s="2" t="s">
        <v>341</v>
      </c>
      <c r="R62" s="2" t="s">
        <v>140</v>
      </c>
      <c r="S62" s="2" t="s">
        <v>175</v>
      </c>
      <c r="T62" s="2" t="s">
        <v>178</v>
      </c>
      <c r="U62" s="2" t="n">
        <v>18</v>
      </c>
      <c r="V62" s="2" t="n">
        <v>13</v>
      </c>
      <c r="W62" s="2" t="n">
        <v>5</v>
      </c>
      <c r="X62" s="2" t="n">
        <v>4</v>
      </c>
      <c r="Y62" s="2" t="n">
        <v>2</v>
      </c>
      <c r="Z62" s="2" t="n">
        <v>2</v>
      </c>
      <c r="AA62" s="2" t="n">
        <v>8</v>
      </c>
      <c r="AB62" s="2" t="n">
        <v>76.32</v>
      </c>
      <c r="AC62" s="2" t="n">
        <v>83.18</v>
      </c>
      <c r="AD62" s="2" t="n">
        <v>0.404</v>
      </c>
    </row>
    <row r="63" customFormat="false" ht="15" hidden="false" customHeight="false" outlineLevel="0" collapsed="false">
      <c r="A63" s="2" t="s">
        <v>84</v>
      </c>
      <c r="B63" s="2" t="s">
        <v>90</v>
      </c>
      <c r="C63" s="2" t="s">
        <v>95</v>
      </c>
      <c r="D63" s="2" t="n">
        <v>42</v>
      </c>
      <c r="E63" s="2" t="s">
        <v>104</v>
      </c>
      <c r="F63" s="2" t="n">
        <v>6</v>
      </c>
      <c r="G63" s="2" t="s">
        <v>574</v>
      </c>
      <c r="H63" s="2" t="s">
        <v>577</v>
      </c>
      <c r="I63" s="2" t="s">
        <v>123</v>
      </c>
      <c r="J63" s="2" t="s">
        <v>576</v>
      </c>
      <c r="K63" s="2" t="s">
        <v>341</v>
      </c>
      <c r="L63" s="2" t="s">
        <v>140</v>
      </c>
      <c r="M63" s="23" t="b">
        <f aca="false">FALSE()</f>
        <v>0</v>
      </c>
      <c r="N63" s="2"/>
      <c r="O63" s="2" t="s">
        <v>158</v>
      </c>
      <c r="P63" s="2" t="s">
        <v>164</v>
      </c>
      <c r="Q63" s="2" t="s">
        <v>352</v>
      </c>
      <c r="R63" s="2" t="s">
        <v>353</v>
      </c>
      <c r="S63" s="2" t="s">
        <v>481</v>
      </c>
      <c r="T63" s="2" t="s">
        <v>482</v>
      </c>
      <c r="U63" s="2" t="n">
        <v>13</v>
      </c>
      <c r="V63" s="2" t="n">
        <v>18</v>
      </c>
      <c r="W63" s="2" t="n">
        <v>-5</v>
      </c>
      <c r="X63" s="2" t="n">
        <v>3</v>
      </c>
      <c r="Y63" s="2" t="n">
        <v>3</v>
      </c>
      <c r="Z63" s="2" t="n">
        <v>-2</v>
      </c>
      <c r="AA63" s="2" t="n">
        <v>6</v>
      </c>
      <c r="AB63" s="2" t="n">
        <v>83.18</v>
      </c>
      <c r="AC63" s="2" t="n">
        <v>76.32</v>
      </c>
      <c r="AD63" s="2" t="n">
        <v>0.596</v>
      </c>
    </row>
    <row r="64" customFormat="false" ht="15" hidden="false" customHeight="false" outlineLevel="0" collapsed="false">
      <c r="A64" s="2" t="s">
        <v>84</v>
      </c>
      <c r="B64" s="2" t="s">
        <v>90</v>
      </c>
      <c r="C64" s="2" t="s">
        <v>95</v>
      </c>
      <c r="D64" s="2" t="n">
        <v>42</v>
      </c>
      <c r="E64" s="2" t="s">
        <v>104</v>
      </c>
      <c r="F64" s="2" t="n">
        <v>6</v>
      </c>
      <c r="G64" s="2" t="s">
        <v>578</v>
      </c>
      <c r="H64" s="2" t="s">
        <v>579</v>
      </c>
      <c r="I64" s="2" t="s">
        <v>123</v>
      </c>
      <c r="J64" s="2" t="s">
        <v>576</v>
      </c>
      <c r="K64" s="2" t="s">
        <v>354</v>
      </c>
      <c r="L64" s="2" t="s">
        <v>355</v>
      </c>
      <c r="M64" s="23" t="b">
        <f aca="false">FALSE()</f>
        <v>0</v>
      </c>
      <c r="N64" s="2"/>
      <c r="O64" s="2" t="s">
        <v>158</v>
      </c>
      <c r="P64" s="2" t="s">
        <v>236</v>
      </c>
      <c r="Q64" s="2" t="s">
        <v>350</v>
      </c>
      <c r="R64" s="2" t="s">
        <v>351</v>
      </c>
      <c r="S64" s="2" t="s">
        <v>175</v>
      </c>
      <c r="T64" s="2" t="s">
        <v>178</v>
      </c>
      <c r="U64" s="2" t="n">
        <v>32</v>
      </c>
      <c r="V64" s="2" t="n">
        <v>25</v>
      </c>
      <c r="W64" s="2" t="n">
        <v>7</v>
      </c>
      <c r="X64" s="2" t="n">
        <v>3</v>
      </c>
      <c r="Y64" s="2" t="n">
        <v>3</v>
      </c>
      <c r="Z64" s="2" t="n">
        <v>3</v>
      </c>
      <c r="AA64" s="2" t="n">
        <v>6</v>
      </c>
      <c r="AB64" s="2" t="n">
        <v>71.54</v>
      </c>
      <c r="AC64" s="2" t="n">
        <v>66.15</v>
      </c>
      <c r="AD64" s="2" t="n">
        <v>0.6436</v>
      </c>
    </row>
    <row r="65" customFormat="false" ht="15" hidden="false" customHeight="false" outlineLevel="0" collapsed="false">
      <c r="A65" s="2" t="s">
        <v>84</v>
      </c>
      <c r="B65" s="2" t="s">
        <v>90</v>
      </c>
      <c r="C65" s="2" t="s">
        <v>95</v>
      </c>
      <c r="D65" s="2" t="n">
        <v>42</v>
      </c>
      <c r="E65" s="2" t="s">
        <v>104</v>
      </c>
      <c r="F65" s="2" t="n">
        <v>6</v>
      </c>
      <c r="G65" s="2" t="s">
        <v>578</v>
      </c>
      <c r="H65" s="2" t="s">
        <v>580</v>
      </c>
      <c r="I65" s="2" t="s">
        <v>123</v>
      </c>
      <c r="J65" s="2" t="s">
        <v>576</v>
      </c>
      <c r="K65" s="2" t="s">
        <v>350</v>
      </c>
      <c r="L65" s="2" t="s">
        <v>351</v>
      </c>
      <c r="M65" s="23" t="b">
        <f aca="false">FALSE()</f>
        <v>0</v>
      </c>
      <c r="N65" s="2"/>
      <c r="O65" s="2" t="s">
        <v>158</v>
      </c>
      <c r="P65" s="2" t="s">
        <v>164</v>
      </c>
      <c r="Q65" s="2" t="s">
        <v>354</v>
      </c>
      <c r="R65" s="2" t="s">
        <v>355</v>
      </c>
      <c r="S65" s="2" t="s">
        <v>481</v>
      </c>
      <c r="T65" s="2" t="s">
        <v>482</v>
      </c>
      <c r="U65" s="2" t="n">
        <v>25</v>
      </c>
      <c r="V65" s="2" t="n">
        <v>32</v>
      </c>
      <c r="W65" s="2" t="n">
        <v>-7</v>
      </c>
      <c r="X65" s="2" t="n">
        <v>3</v>
      </c>
      <c r="Y65" s="2" t="n">
        <v>3</v>
      </c>
      <c r="Z65" s="2" t="n">
        <v>-2</v>
      </c>
      <c r="AA65" s="2" t="n">
        <v>6</v>
      </c>
      <c r="AB65" s="2" t="n">
        <v>66.15</v>
      </c>
      <c r="AC65" s="2" t="n">
        <v>71.54</v>
      </c>
      <c r="AD65" s="2" t="n">
        <v>0.3564</v>
      </c>
    </row>
    <row r="66" customFormat="false" ht="15" hidden="false" customHeight="false" outlineLevel="0" collapsed="false">
      <c r="A66" s="2" t="s">
        <v>84</v>
      </c>
      <c r="B66" s="2" t="s">
        <v>90</v>
      </c>
      <c r="C66" s="2" t="s">
        <v>95</v>
      </c>
      <c r="D66" s="2" t="n">
        <v>42</v>
      </c>
      <c r="E66" s="2" t="s">
        <v>104</v>
      </c>
      <c r="F66" s="2" t="n">
        <v>6</v>
      </c>
      <c r="G66" s="2" t="s">
        <v>581</v>
      </c>
      <c r="H66" s="2" t="s">
        <v>582</v>
      </c>
      <c r="I66" s="2" t="s">
        <v>123</v>
      </c>
      <c r="J66" s="2" t="s">
        <v>576</v>
      </c>
      <c r="K66" s="2" t="s">
        <v>348</v>
      </c>
      <c r="L66" s="2" t="s">
        <v>349</v>
      </c>
      <c r="M66" s="23" t="b">
        <f aca="false">FALSE()</f>
        <v>0</v>
      </c>
      <c r="N66" s="2"/>
      <c r="O66" s="2" t="s">
        <v>158</v>
      </c>
      <c r="P66" s="2" t="s">
        <v>164</v>
      </c>
      <c r="Q66" s="2" t="s">
        <v>356</v>
      </c>
      <c r="R66" s="2" t="s">
        <v>357</v>
      </c>
      <c r="S66" s="2" t="s">
        <v>175</v>
      </c>
      <c r="T66" s="2" t="s">
        <v>482</v>
      </c>
      <c r="U66" s="2" t="n">
        <v>4</v>
      </c>
      <c r="V66" s="2" t="n">
        <v>5</v>
      </c>
      <c r="W66" s="2" t="n">
        <v>-1</v>
      </c>
      <c r="X66" s="2" t="n">
        <v>4</v>
      </c>
      <c r="Y66" s="2" t="n">
        <v>2</v>
      </c>
      <c r="Z66" s="2" t="n">
        <v>-1</v>
      </c>
      <c r="AA66" s="2" t="n">
        <v>8</v>
      </c>
      <c r="AB66" s="2" t="n">
        <v>73.44</v>
      </c>
      <c r="AC66" s="2" t="n">
        <v>68.39</v>
      </c>
      <c r="AD66" s="2" t="n">
        <v>0.6374</v>
      </c>
    </row>
    <row r="67" customFormat="false" ht="15" hidden="false" customHeight="false" outlineLevel="0" collapsed="false">
      <c r="A67" s="2" t="s">
        <v>84</v>
      </c>
      <c r="B67" s="2" t="s">
        <v>90</v>
      </c>
      <c r="C67" s="2" t="s">
        <v>95</v>
      </c>
      <c r="D67" s="2" t="n">
        <v>42</v>
      </c>
      <c r="E67" s="2" t="s">
        <v>104</v>
      </c>
      <c r="F67" s="2" t="n">
        <v>6</v>
      </c>
      <c r="G67" s="2" t="s">
        <v>581</v>
      </c>
      <c r="H67" s="2" t="s">
        <v>583</v>
      </c>
      <c r="I67" s="2" t="s">
        <v>123</v>
      </c>
      <c r="J67" s="2" t="s">
        <v>576</v>
      </c>
      <c r="K67" s="2" t="s">
        <v>356</v>
      </c>
      <c r="L67" s="2" t="s">
        <v>357</v>
      </c>
      <c r="M67" s="23" t="b">
        <f aca="false">FALSE()</f>
        <v>0</v>
      </c>
      <c r="N67" s="2"/>
      <c r="O67" s="2" t="s">
        <v>158</v>
      </c>
      <c r="P67" s="2" t="s">
        <v>236</v>
      </c>
      <c r="Q67" s="2" t="s">
        <v>348</v>
      </c>
      <c r="R67" s="2" t="s">
        <v>349</v>
      </c>
      <c r="S67" s="2" t="s">
        <v>481</v>
      </c>
      <c r="T67" s="2" t="s">
        <v>178</v>
      </c>
      <c r="U67" s="2" t="n">
        <v>5</v>
      </c>
      <c r="V67" s="2" t="n">
        <v>4</v>
      </c>
      <c r="W67" s="2" t="n">
        <v>1</v>
      </c>
      <c r="X67" s="2" t="n">
        <v>3</v>
      </c>
      <c r="Y67" s="2" t="n">
        <v>3</v>
      </c>
      <c r="Z67" s="2" t="n">
        <v>1</v>
      </c>
      <c r="AA67" s="2" t="n">
        <v>6</v>
      </c>
      <c r="AB67" s="2" t="n">
        <v>68.39</v>
      </c>
      <c r="AC67" s="2" t="n">
        <v>73.44</v>
      </c>
      <c r="AD67" s="2" t="n">
        <v>0.3626</v>
      </c>
    </row>
    <row r="68" customFormat="false" ht="15" hidden="false" customHeight="false" outlineLevel="0" collapsed="false">
      <c r="A68" s="2" t="s">
        <v>84</v>
      </c>
      <c r="B68" s="2" t="s">
        <v>90</v>
      </c>
      <c r="C68" s="2" t="s">
        <v>95</v>
      </c>
      <c r="D68" s="2" t="n">
        <v>42</v>
      </c>
      <c r="E68" s="2" t="s">
        <v>104</v>
      </c>
      <c r="F68" s="2" t="n">
        <v>6</v>
      </c>
      <c r="G68" s="2" t="s">
        <v>584</v>
      </c>
      <c r="H68" s="2" t="s">
        <v>585</v>
      </c>
      <c r="I68" s="2" t="s">
        <v>123</v>
      </c>
      <c r="J68" s="2" t="s">
        <v>576</v>
      </c>
      <c r="K68" s="2" t="s">
        <v>358</v>
      </c>
      <c r="L68" s="2" t="s">
        <v>359</v>
      </c>
      <c r="M68" s="23" t="b">
        <f aca="false">FALSE()</f>
        <v>0</v>
      </c>
      <c r="N68" s="2"/>
      <c r="O68" s="2" t="s">
        <v>158</v>
      </c>
      <c r="P68" s="2" t="s">
        <v>236</v>
      </c>
      <c r="Q68" s="2" t="s">
        <v>346</v>
      </c>
      <c r="R68" s="2" t="s">
        <v>347</v>
      </c>
      <c r="S68" s="2" t="s">
        <v>175</v>
      </c>
      <c r="T68" s="2" t="s">
        <v>482</v>
      </c>
      <c r="U68" s="2" t="n">
        <v>30</v>
      </c>
      <c r="V68" s="2" t="n">
        <v>37</v>
      </c>
      <c r="W68" s="2" t="n">
        <v>-7</v>
      </c>
      <c r="X68" s="2" t="n">
        <v>4</v>
      </c>
      <c r="Y68" s="2" t="n">
        <v>2</v>
      </c>
      <c r="Z68" s="2" t="n">
        <v>-1</v>
      </c>
      <c r="AA68" s="2" t="n">
        <v>8</v>
      </c>
      <c r="AB68" s="2" t="n">
        <v>65.53</v>
      </c>
      <c r="AC68" s="2" t="n">
        <v>76.13</v>
      </c>
      <c r="AD68" s="2" t="n">
        <v>0.3343</v>
      </c>
    </row>
    <row r="69" customFormat="false" ht="15" hidden="false" customHeight="false" outlineLevel="0" collapsed="false">
      <c r="A69" s="2" t="s">
        <v>84</v>
      </c>
      <c r="B69" s="2" t="s">
        <v>90</v>
      </c>
      <c r="C69" s="2" t="s">
        <v>95</v>
      </c>
      <c r="D69" s="2" t="n">
        <v>42</v>
      </c>
      <c r="E69" s="2" t="s">
        <v>104</v>
      </c>
      <c r="F69" s="2" t="n">
        <v>6</v>
      </c>
      <c r="G69" s="2" t="s">
        <v>584</v>
      </c>
      <c r="H69" s="2" t="s">
        <v>586</v>
      </c>
      <c r="I69" s="2" t="s">
        <v>123</v>
      </c>
      <c r="J69" s="2" t="s">
        <v>576</v>
      </c>
      <c r="K69" s="2" t="s">
        <v>346</v>
      </c>
      <c r="L69" s="2" t="s">
        <v>347</v>
      </c>
      <c r="M69" s="23" t="b">
        <f aca="false">FALSE()</f>
        <v>0</v>
      </c>
      <c r="N69" s="2"/>
      <c r="O69" s="2" t="s">
        <v>158</v>
      </c>
      <c r="P69" s="2" t="s">
        <v>164</v>
      </c>
      <c r="Q69" s="2" t="s">
        <v>358</v>
      </c>
      <c r="R69" s="2" t="s">
        <v>359</v>
      </c>
      <c r="S69" s="2" t="s">
        <v>481</v>
      </c>
      <c r="T69" s="2" t="s">
        <v>178</v>
      </c>
      <c r="U69" s="2" t="n">
        <v>37</v>
      </c>
      <c r="V69" s="2" t="n">
        <v>30</v>
      </c>
      <c r="W69" s="2" t="n">
        <v>7</v>
      </c>
      <c r="X69" s="2" t="n">
        <v>2</v>
      </c>
      <c r="Y69" s="2" t="n">
        <v>4</v>
      </c>
      <c r="Z69" s="2" t="n">
        <v>1</v>
      </c>
      <c r="AA69" s="2" t="n">
        <v>4</v>
      </c>
      <c r="AB69" s="2" t="n">
        <v>76.13</v>
      </c>
      <c r="AC69" s="2" t="n">
        <v>65.53</v>
      </c>
      <c r="AD69" s="2" t="n">
        <v>0.6657</v>
      </c>
    </row>
    <row r="70" customFormat="false" ht="15" hidden="false" customHeight="false" outlineLevel="0" collapsed="false">
      <c r="A70" s="2" t="s">
        <v>84</v>
      </c>
      <c r="B70" s="2" t="s">
        <v>90</v>
      </c>
      <c r="C70" s="2" t="s">
        <v>95</v>
      </c>
      <c r="D70" s="2" t="n">
        <v>42</v>
      </c>
      <c r="E70" s="2" t="s">
        <v>104</v>
      </c>
      <c r="F70" s="2" t="n">
        <v>6</v>
      </c>
      <c r="G70" s="2" t="s">
        <v>587</v>
      </c>
      <c r="H70" s="2" t="s">
        <v>588</v>
      </c>
      <c r="I70" s="2" t="s">
        <v>123</v>
      </c>
      <c r="J70" s="2" t="s">
        <v>576</v>
      </c>
      <c r="K70" s="2" t="s">
        <v>344</v>
      </c>
      <c r="L70" s="2" t="s">
        <v>345</v>
      </c>
      <c r="M70" s="23" t="b">
        <f aca="false">FALSE()</f>
        <v>0</v>
      </c>
      <c r="N70" s="2"/>
      <c r="O70" s="2" t="s">
        <v>158</v>
      </c>
      <c r="P70" s="2" t="s">
        <v>164</v>
      </c>
      <c r="Q70" s="2" t="s">
        <v>360</v>
      </c>
      <c r="R70" s="2" t="s">
        <v>361</v>
      </c>
      <c r="S70" s="2" t="s">
        <v>175</v>
      </c>
      <c r="T70" s="2" t="s">
        <v>482</v>
      </c>
      <c r="U70" s="2" t="n">
        <v>15</v>
      </c>
      <c r="V70" s="2" t="n">
        <v>18</v>
      </c>
      <c r="W70" s="2" t="n">
        <v>-3</v>
      </c>
      <c r="X70" s="2" t="n">
        <v>2</v>
      </c>
      <c r="Y70" s="2" t="n">
        <v>4</v>
      </c>
      <c r="Z70" s="2" t="n">
        <v>-2</v>
      </c>
      <c r="AA70" s="2" t="n">
        <v>4</v>
      </c>
      <c r="AB70" s="2" t="n">
        <v>63.04</v>
      </c>
      <c r="AC70" s="2" t="n">
        <v>58.14</v>
      </c>
      <c r="AD70" s="2" t="n">
        <v>0.6345</v>
      </c>
    </row>
    <row r="71" customFormat="false" ht="15" hidden="false" customHeight="false" outlineLevel="0" collapsed="false">
      <c r="A71" s="2" t="s">
        <v>84</v>
      </c>
      <c r="B71" s="2" t="s">
        <v>90</v>
      </c>
      <c r="C71" s="2" t="s">
        <v>95</v>
      </c>
      <c r="D71" s="2" t="n">
        <v>42</v>
      </c>
      <c r="E71" s="2" t="s">
        <v>104</v>
      </c>
      <c r="F71" s="2" t="n">
        <v>6</v>
      </c>
      <c r="G71" s="2" t="s">
        <v>587</v>
      </c>
      <c r="H71" s="2" t="s">
        <v>589</v>
      </c>
      <c r="I71" s="2" t="s">
        <v>123</v>
      </c>
      <c r="J71" s="2" t="s">
        <v>576</v>
      </c>
      <c r="K71" s="2" t="s">
        <v>360</v>
      </c>
      <c r="L71" s="2" t="s">
        <v>361</v>
      </c>
      <c r="M71" s="23" t="b">
        <f aca="false">FALSE()</f>
        <v>0</v>
      </c>
      <c r="N71" s="2"/>
      <c r="O71" s="2" t="s">
        <v>158</v>
      </c>
      <c r="P71" s="2" t="s">
        <v>236</v>
      </c>
      <c r="Q71" s="2" t="s">
        <v>344</v>
      </c>
      <c r="R71" s="2" t="s">
        <v>345</v>
      </c>
      <c r="S71" s="2" t="s">
        <v>481</v>
      </c>
      <c r="T71" s="2" t="s">
        <v>178</v>
      </c>
      <c r="U71" s="2" t="n">
        <v>18</v>
      </c>
      <c r="V71" s="2" t="n">
        <v>15</v>
      </c>
      <c r="W71" s="2" t="n">
        <v>3</v>
      </c>
      <c r="X71" s="2" t="n">
        <v>3</v>
      </c>
      <c r="Y71" s="2" t="n">
        <v>3</v>
      </c>
      <c r="Z71" s="2" t="n">
        <v>1</v>
      </c>
      <c r="AA71" s="2" t="n">
        <v>6</v>
      </c>
      <c r="AB71" s="2" t="n">
        <v>58.14</v>
      </c>
      <c r="AC71" s="2" t="n">
        <v>63.04</v>
      </c>
      <c r="AD71" s="2" t="n">
        <v>0.3655</v>
      </c>
    </row>
    <row r="72" customFormat="false" ht="15" hidden="false" customHeight="false" outlineLevel="0" collapsed="false">
      <c r="A72" s="2" t="s">
        <v>84</v>
      </c>
      <c r="B72" s="2" t="s">
        <v>90</v>
      </c>
      <c r="C72" s="2" t="s">
        <v>95</v>
      </c>
      <c r="D72" s="2" t="n">
        <v>42</v>
      </c>
      <c r="E72" s="2" t="s">
        <v>104</v>
      </c>
      <c r="F72" s="2" t="n">
        <v>6</v>
      </c>
      <c r="G72" s="2" t="s">
        <v>590</v>
      </c>
      <c r="H72" s="2" t="s">
        <v>591</v>
      </c>
      <c r="I72" s="2" t="s">
        <v>123</v>
      </c>
      <c r="J72" s="2" t="s">
        <v>576</v>
      </c>
      <c r="K72" s="2" t="s">
        <v>362</v>
      </c>
      <c r="L72" s="2" t="s">
        <v>172</v>
      </c>
      <c r="M72" s="23" t="b">
        <f aca="false">TRUE()</f>
        <v>1</v>
      </c>
      <c r="N72" s="2" t="s">
        <v>152</v>
      </c>
      <c r="O72" s="2" t="s">
        <v>158</v>
      </c>
      <c r="P72" s="2" t="s">
        <v>236</v>
      </c>
      <c r="Q72" s="2" t="s">
        <v>342</v>
      </c>
      <c r="R72" s="2" t="s">
        <v>343</v>
      </c>
      <c r="S72" s="2" t="s">
        <v>175</v>
      </c>
      <c r="T72" s="2" t="s">
        <v>482</v>
      </c>
      <c r="U72" s="2" t="n">
        <v>25</v>
      </c>
      <c r="V72" s="2" t="n">
        <v>34</v>
      </c>
      <c r="W72" s="2" t="n">
        <v>-9</v>
      </c>
      <c r="X72" s="2" t="n">
        <v>2</v>
      </c>
      <c r="Y72" s="2" t="n">
        <v>4</v>
      </c>
      <c r="Z72" s="2" t="n">
        <v>-1</v>
      </c>
      <c r="AA72" s="2" t="n">
        <v>4</v>
      </c>
      <c r="AB72" s="2" t="n">
        <v>70.69</v>
      </c>
      <c r="AC72" s="2" t="n">
        <v>69.16</v>
      </c>
      <c r="AD72" s="2" t="n">
        <v>0.5702</v>
      </c>
    </row>
    <row r="73" customFormat="false" ht="15" hidden="false" customHeight="false" outlineLevel="0" collapsed="false">
      <c r="A73" s="2" t="s">
        <v>84</v>
      </c>
      <c r="B73" s="2" t="s">
        <v>90</v>
      </c>
      <c r="C73" s="2" t="s">
        <v>95</v>
      </c>
      <c r="D73" s="2" t="n">
        <v>42</v>
      </c>
      <c r="E73" s="2" t="s">
        <v>104</v>
      </c>
      <c r="F73" s="2" t="n">
        <v>6</v>
      </c>
      <c r="G73" s="2" t="s">
        <v>590</v>
      </c>
      <c r="H73" s="2" t="s">
        <v>592</v>
      </c>
      <c r="I73" s="2" t="s">
        <v>123</v>
      </c>
      <c r="J73" s="2" t="s">
        <v>576</v>
      </c>
      <c r="K73" s="2" t="s">
        <v>342</v>
      </c>
      <c r="L73" s="2" t="s">
        <v>343</v>
      </c>
      <c r="M73" s="23" t="b">
        <f aca="false">FALSE()</f>
        <v>0</v>
      </c>
      <c r="N73" s="2"/>
      <c r="O73" s="2" t="s">
        <v>158</v>
      </c>
      <c r="P73" s="2" t="s">
        <v>164</v>
      </c>
      <c r="Q73" s="2" t="s">
        <v>362</v>
      </c>
      <c r="R73" s="2" t="s">
        <v>172</v>
      </c>
      <c r="S73" s="2" t="s">
        <v>481</v>
      </c>
      <c r="T73" s="2" t="s">
        <v>178</v>
      </c>
      <c r="U73" s="2" t="n">
        <v>34</v>
      </c>
      <c r="V73" s="2" t="n">
        <v>25</v>
      </c>
      <c r="W73" s="2" t="n">
        <v>9</v>
      </c>
      <c r="X73" s="2" t="n">
        <v>3</v>
      </c>
      <c r="Y73" s="2" t="n">
        <v>3</v>
      </c>
      <c r="Z73" s="2" t="n">
        <v>2</v>
      </c>
      <c r="AA73" s="2" t="n">
        <v>6</v>
      </c>
      <c r="AB73" s="2" t="n">
        <v>69.16</v>
      </c>
      <c r="AC73" s="2" t="n">
        <v>70.69</v>
      </c>
      <c r="AD73" s="2" t="n">
        <v>0.4298</v>
      </c>
    </row>
    <row r="74" customFormat="false" ht="15" hidden="false" customHeight="false" outlineLevel="0" collapsed="false">
      <c r="A74" s="2" t="s">
        <v>84</v>
      </c>
      <c r="B74" s="2" t="s">
        <v>90</v>
      </c>
      <c r="C74" s="2" t="s">
        <v>95</v>
      </c>
      <c r="D74" s="2" t="n">
        <v>42</v>
      </c>
      <c r="E74" s="2" t="s">
        <v>104</v>
      </c>
      <c r="F74" s="2" t="n">
        <v>7</v>
      </c>
      <c r="G74" s="2" t="s">
        <v>593</v>
      </c>
      <c r="H74" s="2" t="s">
        <v>594</v>
      </c>
      <c r="I74" s="2" t="s">
        <v>123</v>
      </c>
      <c r="J74" s="2" t="s">
        <v>595</v>
      </c>
      <c r="K74" s="2" t="s">
        <v>341</v>
      </c>
      <c r="L74" s="2" t="s">
        <v>140</v>
      </c>
      <c r="M74" s="23" t="b">
        <f aca="false">FALSE()</f>
        <v>0</v>
      </c>
      <c r="N74" s="2"/>
      <c r="O74" s="2" t="s">
        <v>158</v>
      </c>
      <c r="P74" s="2" t="s">
        <v>164</v>
      </c>
      <c r="Q74" s="2" t="s">
        <v>350</v>
      </c>
      <c r="R74" s="2" t="s">
        <v>351</v>
      </c>
      <c r="S74" s="2" t="s">
        <v>175</v>
      </c>
      <c r="T74" s="2" t="s">
        <v>178</v>
      </c>
      <c r="U74" s="2" t="n">
        <v>35</v>
      </c>
      <c r="V74" s="2" t="n">
        <v>32</v>
      </c>
      <c r="W74" s="2" t="n">
        <v>3</v>
      </c>
      <c r="X74" s="2" t="n">
        <v>4</v>
      </c>
      <c r="Y74" s="2" t="n">
        <v>3</v>
      </c>
      <c r="Z74" s="2" t="n">
        <v>1</v>
      </c>
      <c r="AA74" s="2" t="n">
        <v>8</v>
      </c>
      <c r="AB74" s="2" t="n">
        <v>83.18</v>
      </c>
      <c r="AC74" s="2" t="n">
        <v>66.15</v>
      </c>
      <c r="AD74" s="2" t="n">
        <v>0.8209</v>
      </c>
    </row>
    <row r="75" customFormat="false" ht="15" hidden="false" customHeight="false" outlineLevel="0" collapsed="false">
      <c r="A75" s="2" t="s">
        <v>84</v>
      </c>
      <c r="B75" s="2" t="s">
        <v>90</v>
      </c>
      <c r="C75" s="2" t="s">
        <v>95</v>
      </c>
      <c r="D75" s="2" t="n">
        <v>42</v>
      </c>
      <c r="E75" s="2" t="s">
        <v>104</v>
      </c>
      <c r="F75" s="2" t="n">
        <v>7</v>
      </c>
      <c r="G75" s="2" t="s">
        <v>593</v>
      </c>
      <c r="H75" s="2" t="s">
        <v>596</v>
      </c>
      <c r="I75" s="2" t="s">
        <v>123</v>
      </c>
      <c r="J75" s="2" t="s">
        <v>595</v>
      </c>
      <c r="K75" s="2" t="s">
        <v>350</v>
      </c>
      <c r="L75" s="2" t="s">
        <v>351</v>
      </c>
      <c r="M75" s="23" t="b">
        <f aca="false">FALSE()</f>
        <v>0</v>
      </c>
      <c r="N75" s="2"/>
      <c r="O75" s="2" t="s">
        <v>158</v>
      </c>
      <c r="P75" s="2" t="s">
        <v>164</v>
      </c>
      <c r="Q75" s="2" t="s">
        <v>341</v>
      </c>
      <c r="R75" s="2" t="s">
        <v>140</v>
      </c>
      <c r="S75" s="2" t="s">
        <v>481</v>
      </c>
      <c r="T75" s="2" t="s">
        <v>482</v>
      </c>
      <c r="U75" s="2" t="n">
        <v>32</v>
      </c>
      <c r="V75" s="2" t="n">
        <v>35</v>
      </c>
      <c r="W75" s="2" t="n">
        <v>-3</v>
      </c>
      <c r="X75" s="2" t="n">
        <v>3</v>
      </c>
      <c r="Y75" s="2" t="n">
        <v>4</v>
      </c>
      <c r="Z75" s="2" t="n">
        <v>-3</v>
      </c>
      <c r="AA75" s="2" t="n">
        <v>6</v>
      </c>
      <c r="AB75" s="2" t="n">
        <v>66.15</v>
      </c>
      <c r="AC75" s="2" t="n">
        <v>83.18</v>
      </c>
      <c r="AD75" s="2" t="n">
        <v>0.1791</v>
      </c>
    </row>
    <row r="76" customFormat="false" ht="15" hidden="false" customHeight="false" outlineLevel="0" collapsed="false">
      <c r="A76" s="2" t="s">
        <v>84</v>
      </c>
      <c r="B76" s="2" t="s">
        <v>90</v>
      </c>
      <c r="C76" s="2" t="s">
        <v>95</v>
      </c>
      <c r="D76" s="2" t="n">
        <v>42</v>
      </c>
      <c r="E76" s="2" t="s">
        <v>104</v>
      </c>
      <c r="F76" s="2" t="n">
        <v>7</v>
      </c>
      <c r="G76" s="2" t="s">
        <v>597</v>
      </c>
      <c r="H76" s="2" t="s">
        <v>598</v>
      </c>
      <c r="I76" s="2" t="s">
        <v>123</v>
      </c>
      <c r="J76" s="2" t="s">
        <v>595</v>
      </c>
      <c r="K76" s="2" t="s">
        <v>348</v>
      </c>
      <c r="L76" s="2" t="s">
        <v>349</v>
      </c>
      <c r="M76" s="23" t="b">
        <f aca="false">FALSE()</f>
        <v>0</v>
      </c>
      <c r="N76" s="2"/>
      <c r="O76" s="2" t="s">
        <v>158</v>
      </c>
      <c r="P76" s="2" t="s">
        <v>164</v>
      </c>
      <c r="Q76" s="2" t="s">
        <v>352</v>
      </c>
      <c r="R76" s="2" t="s">
        <v>353</v>
      </c>
      <c r="S76" s="2" t="s">
        <v>175</v>
      </c>
      <c r="T76" s="2" t="s">
        <v>178</v>
      </c>
      <c r="U76" s="2" t="n">
        <v>20</v>
      </c>
      <c r="V76" s="2" t="n">
        <v>16</v>
      </c>
      <c r="W76" s="2" t="n">
        <v>4</v>
      </c>
      <c r="X76" s="2" t="n">
        <v>5</v>
      </c>
      <c r="Y76" s="2" t="n">
        <v>2</v>
      </c>
      <c r="Z76" s="2" t="n">
        <v>1</v>
      </c>
      <c r="AA76" s="2" t="n">
        <v>10</v>
      </c>
      <c r="AB76" s="2" t="n">
        <v>73.44</v>
      </c>
      <c r="AC76" s="2" t="n">
        <v>76.32</v>
      </c>
      <c r="AD76" s="2" t="n">
        <v>0.4824</v>
      </c>
    </row>
    <row r="77" customFormat="false" ht="15" hidden="false" customHeight="false" outlineLevel="0" collapsed="false">
      <c r="A77" s="2" t="s">
        <v>84</v>
      </c>
      <c r="B77" s="2" t="s">
        <v>90</v>
      </c>
      <c r="C77" s="2" t="s">
        <v>95</v>
      </c>
      <c r="D77" s="2" t="n">
        <v>42</v>
      </c>
      <c r="E77" s="2" t="s">
        <v>104</v>
      </c>
      <c r="F77" s="2" t="n">
        <v>7</v>
      </c>
      <c r="G77" s="2" t="s">
        <v>597</v>
      </c>
      <c r="H77" s="2" t="s">
        <v>599</v>
      </c>
      <c r="I77" s="2" t="s">
        <v>123</v>
      </c>
      <c r="J77" s="2" t="s">
        <v>595</v>
      </c>
      <c r="K77" s="2" t="s">
        <v>352</v>
      </c>
      <c r="L77" s="2" t="s">
        <v>353</v>
      </c>
      <c r="M77" s="23" t="b">
        <f aca="false">FALSE()</f>
        <v>0</v>
      </c>
      <c r="N77" s="2"/>
      <c r="O77" s="2" t="s">
        <v>158</v>
      </c>
      <c r="P77" s="2" t="s">
        <v>236</v>
      </c>
      <c r="Q77" s="2" t="s">
        <v>348</v>
      </c>
      <c r="R77" s="2" t="s">
        <v>349</v>
      </c>
      <c r="S77" s="2" t="s">
        <v>481</v>
      </c>
      <c r="T77" s="2" t="s">
        <v>482</v>
      </c>
      <c r="U77" s="2" t="n">
        <v>16</v>
      </c>
      <c r="V77" s="2" t="n">
        <v>20</v>
      </c>
      <c r="W77" s="2" t="n">
        <v>-4</v>
      </c>
      <c r="X77" s="2" t="n">
        <v>4</v>
      </c>
      <c r="Y77" s="2" t="n">
        <v>3</v>
      </c>
      <c r="Z77" s="2" t="n">
        <v>-1</v>
      </c>
      <c r="AA77" s="2" t="n">
        <v>8</v>
      </c>
      <c r="AB77" s="2" t="n">
        <v>76.32</v>
      </c>
      <c r="AC77" s="2" t="n">
        <v>73.44</v>
      </c>
      <c r="AD77" s="2" t="n">
        <v>0.5176</v>
      </c>
    </row>
    <row r="78" customFormat="false" ht="15" hidden="false" customHeight="false" outlineLevel="0" collapsed="false">
      <c r="A78" s="2" t="s">
        <v>84</v>
      </c>
      <c r="B78" s="2" t="s">
        <v>90</v>
      </c>
      <c r="C78" s="2" t="s">
        <v>95</v>
      </c>
      <c r="D78" s="2" t="n">
        <v>42</v>
      </c>
      <c r="E78" s="2" t="s">
        <v>104</v>
      </c>
      <c r="F78" s="2" t="n">
        <v>7</v>
      </c>
      <c r="G78" s="2" t="s">
        <v>600</v>
      </c>
      <c r="H78" s="2" t="s">
        <v>601</v>
      </c>
      <c r="I78" s="2" t="s">
        <v>123</v>
      </c>
      <c r="J78" s="2" t="s">
        <v>595</v>
      </c>
      <c r="K78" s="2" t="s">
        <v>354</v>
      </c>
      <c r="L78" s="2" t="s">
        <v>355</v>
      </c>
      <c r="M78" s="23" t="b">
        <f aca="false">FALSE()</f>
        <v>0</v>
      </c>
      <c r="N78" s="2"/>
      <c r="O78" s="2" t="s">
        <v>158</v>
      </c>
      <c r="P78" s="2" t="s">
        <v>236</v>
      </c>
      <c r="Q78" s="2" t="s">
        <v>346</v>
      </c>
      <c r="R78" s="2" t="s">
        <v>347</v>
      </c>
      <c r="S78" s="2" t="s">
        <v>175</v>
      </c>
      <c r="T78" s="2" t="s">
        <v>482</v>
      </c>
      <c r="U78" s="2" t="n">
        <v>23</v>
      </c>
      <c r="V78" s="2" t="n">
        <v>24</v>
      </c>
      <c r="W78" s="2" t="n">
        <v>-1</v>
      </c>
      <c r="X78" s="2" t="n">
        <v>3</v>
      </c>
      <c r="Y78" s="2" t="n">
        <v>4</v>
      </c>
      <c r="Z78" s="2" t="n">
        <v>-1</v>
      </c>
      <c r="AA78" s="2" t="n">
        <v>6</v>
      </c>
      <c r="AB78" s="2" t="n">
        <v>71.54</v>
      </c>
      <c r="AC78" s="2" t="n">
        <v>76.13</v>
      </c>
      <c r="AD78" s="2" t="n">
        <v>0.4482</v>
      </c>
    </row>
    <row r="79" customFormat="false" ht="15" hidden="false" customHeight="false" outlineLevel="0" collapsed="false">
      <c r="A79" s="2" t="s">
        <v>84</v>
      </c>
      <c r="B79" s="2" t="s">
        <v>90</v>
      </c>
      <c r="C79" s="2" t="s">
        <v>95</v>
      </c>
      <c r="D79" s="2" t="n">
        <v>42</v>
      </c>
      <c r="E79" s="2" t="s">
        <v>104</v>
      </c>
      <c r="F79" s="2" t="n">
        <v>7</v>
      </c>
      <c r="G79" s="2" t="s">
        <v>600</v>
      </c>
      <c r="H79" s="2" t="s">
        <v>602</v>
      </c>
      <c r="I79" s="2" t="s">
        <v>123</v>
      </c>
      <c r="J79" s="2" t="s">
        <v>595</v>
      </c>
      <c r="K79" s="2" t="s">
        <v>346</v>
      </c>
      <c r="L79" s="2" t="s">
        <v>347</v>
      </c>
      <c r="M79" s="23" t="b">
        <f aca="false">FALSE()</f>
        <v>0</v>
      </c>
      <c r="N79" s="2"/>
      <c r="O79" s="2" t="s">
        <v>158</v>
      </c>
      <c r="P79" s="2" t="s">
        <v>164</v>
      </c>
      <c r="Q79" s="2" t="s">
        <v>354</v>
      </c>
      <c r="R79" s="2" t="s">
        <v>355</v>
      </c>
      <c r="S79" s="2" t="s">
        <v>481</v>
      </c>
      <c r="T79" s="2" t="s">
        <v>178</v>
      </c>
      <c r="U79" s="2" t="n">
        <v>24</v>
      </c>
      <c r="V79" s="2" t="n">
        <v>23</v>
      </c>
      <c r="W79" s="2" t="n">
        <v>1</v>
      </c>
      <c r="X79" s="2" t="n">
        <v>3</v>
      </c>
      <c r="Y79" s="2" t="n">
        <v>4</v>
      </c>
      <c r="Z79" s="2" t="n">
        <v>2</v>
      </c>
      <c r="AA79" s="2" t="n">
        <v>6</v>
      </c>
      <c r="AB79" s="2" t="n">
        <v>76.13</v>
      </c>
      <c r="AC79" s="2" t="n">
        <v>71.54</v>
      </c>
      <c r="AD79" s="2" t="n">
        <v>0.5518</v>
      </c>
    </row>
    <row r="80" customFormat="false" ht="15" hidden="false" customHeight="false" outlineLevel="0" collapsed="false">
      <c r="A80" s="2" t="s">
        <v>84</v>
      </c>
      <c r="B80" s="2" t="s">
        <v>90</v>
      </c>
      <c r="C80" s="2" t="s">
        <v>95</v>
      </c>
      <c r="D80" s="2" t="n">
        <v>42</v>
      </c>
      <c r="E80" s="2" t="s">
        <v>104</v>
      </c>
      <c r="F80" s="2" t="n">
        <v>7</v>
      </c>
      <c r="G80" s="2" t="s">
        <v>603</v>
      </c>
      <c r="H80" s="2" t="s">
        <v>604</v>
      </c>
      <c r="I80" s="2" t="s">
        <v>123</v>
      </c>
      <c r="J80" s="2" t="s">
        <v>595</v>
      </c>
      <c r="K80" s="2" t="s">
        <v>344</v>
      </c>
      <c r="L80" s="2" t="s">
        <v>345</v>
      </c>
      <c r="M80" s="23" t="b">
        <f aca="false">FALSE()</f>
        <v>0</v>
      </c>
      <c r="N80" s="2"/>
      <c r="O80" s="2" t="s">
        <v>158</v>
      </c>
      <c r="P80" s="2" t="s">
        <v>164</v>
      </c>
      <c r="Q80" s="2" t="s">
        <v>356</v>
      </c>
      <c r="R80" s="2" t="s">
        <v>357</v>
      </c>
      <c r="S80" s="2" t="s">
        <v>175</v>
      </c>
      <c r="T80" s="2" t="s">
        <v>482</v>
      </c>
      <c r="U80" s="2" t="n">
        <v>17</v>
      </c>
      <c r="V80" s="2" t="n">
        <v>18</v>
      </c>
      <c r="W80" s="2" t="n">
        <v>-1</v>
      </c>
      <c r="X80" s="2" t="n">
        <v>2</v>
      </c>
      <c r="Y80" s="2" t="n">
        <v>5</v>
      </c>
      <c r="Z80" s="2" t="n">
        <v>-3</v>
      </c>
      <c r="AA80" s="2" t="n">
        <v>4</v>
      </c>
      <c r="AB80" s="2" t="n">
        <v>63.04</v>
      </c>
      <c r="AC80" s="2" t="n">
        <v>68.39</v>
      </c>
      <c r="AD80" s="2" t="n">
        <v>0.4333</v>
      </c>
    </row>
    <row r="81" customFormat="false" ht="15" hidden="false" customHeight="false" outlineLevel="0" collapsed="false">
      <c r="A81" s="2" t="s">
        <v>84</v>
      </c>
      <c r="B81" s="2" t="s">
        <v>90</v>
      </c>
      <c r="C81" s="2" t="s">
        <v>95</v>
      </c>
      <c r="D81" s="2" t="n">
        <v>42</v>
      </c>
      <c r="E81" s="2" t="s">
        <v>104</v>
      </c>
      <c r="F81" s="2" t="n">
        <v>7</v>
      </c>
      <c r="G81" s="2" t="s">
        <v>603</v>
      </c>
      <c r="H81" s="2" t="s">
        <v>605</v>
      </c>
      <c r="I81" s="2" t="s">
        <v>123</v>
      </c>
      <c r="J81" s="2" t="s">
        <v>595</v>
      </c>
      <c r="K81" s="2" t="s">
        <v>356</v>
      </c>
      <c r="L81" s="2" t="s">
        <v>357</v>
      </c>
      <c r="M81" s="23" t="b">
        <f aca="false">FALSE()</f>
        <v>0</v>
      </c>
      <c r="N81" s="2"/>
      <c r="O81" s="2" t="s">
        <v>158</v>
      </c>
      <c r="P81" s="2" t="s">
        <v>236</v>
      </c>
      <c r="Q81" s="2" t="s">
        <v>344</v>
      </c>
      <c r="R81" s="2" t="s">
        <v>345</v>
      </c>
      <c r="S81" s="2" t="s">
        <v>481</v>
      </c>
      <c r="T81" s="2" t="s">
        <v>178</v>
      </c>
      <c r="U81" s="2" t="n">
        <v>18</v>
      </c>
      <c r="V81" s="2" t="n">
        <v>17</v>
      </c>
      <c r="W81" s="2" t="n">
        <v>1</v>
      </c>
      <c r="X81" s="2" t="n">
        <v>4</v>
      </c>
      <c r="Y81" s="2" t="n">
        <v>3</v>
      </c>
      <c r="Z81" s="2" t="n">
        <v>2</v>
      </c>
      <c r="AA81" s="2" t="n">
        <v>8</v>
      </c>
      <c r="AB81" s="2" t="n">
        <v>68.39</v>
      </c>
      <c r="AC81" s="2" t="n">
        <v>63.04</v>
      </c>
      <c r="AD81" s="2" t="n">
        <v>0.5667</v>
      </c>
    </row>
    <row r="82" customFormat="false" ht="15" hidden="false" customHeight="false" outlineLevel="0" collapsed="false">
      <c r="A82" s="2" t="s">
        <v>84</v>
      </c>
      <c r="B82" s="2" t="s">
        <v>90</v>
      </c>
      <c r="C82" s="2" t="s">
        <v>95</v>
      </c>
      <c r="D82" s="2" t="n">
        <v>42</v>
      </c>
      <c r="E82" s="2" t="s">
        <v>104</v>
      </c>
      <c r="F82" s="2" t="n">
        <v>7</v>
      </c>
      <c r="G82" s="2" t="s">
        <v>606</v>
      </c>
      <c r="H82" s="2" t="s">
        <v>607</v>
      </c>
      <c r="I82" s="2" t="s">
        <v>123</v>
      </c>
      <c r="J82" s="2" t="s">
        <v>595</v>
      </c>
      <c r="K82" s="2" t="s">
        <v>358</v>
      </c>
      <c r="L82" s="2" t="s">
        <v>359</v>
      </c>
      <c r="M82" s="23" t="b">
        <f aca="false">FALSE()</f>
        <v>0</v>
      </c>
      <c r="N82" s="2"/>
      <c r="O82" s="2" t="s">
        <v>158</v>
      </c>
      <c r="P82" s="2" t="s">
        <v>236</v>
      </c>
      <c r="Q82" s="2" t="s">
        <v>342</v>
      </c>
      <c r="R82" s="2" t="s">
        <v>343</v>
      </c>
      <c r="S82" s="2" t="s">
        <v>175</v>
      </c>
      <c r="T82" s="2" t="s">
        <v>482</v>
      </c>
      <c r="U82" s="2" t="n">
        <v>10</v>
      </c>
      <c r="V82" s="2" t="n">
        <v>11</v>
      </c>
      <c r="W82" s="2" t="n">
        <v>-1</v>
      </c>
      <c r="X82" s="2" t="n">
        <v>4</v>
      </c>
      <c r="Y82" s="2" t="n">
        <v>3</v>
      </c>
      <c r="Z82" s="2" t="n">
        <v>-2</v>
      </c>
      <c r="AA82" s="2" t="n">
        <v>8</v>
      </c>
      <c r="AB82" s="2" t="n">
        <v>65.53</v>
      </c>
      <c r="AC82" s="2" t="n">
        <v>69.16</v>
      </c>
      <c r="AD82" s="2" t="n">
        <v>0.4674</v>
      </c>
    </row>
    <row r="83" customFormat="false" ht="15" hidden="false" customHeight="false" outlineLevel="0" collapsed="false">
      <c r="A83" s="2" t="s">
        <v>84</v>
      </c>
      <c r="B83" s="2" t="s">
        <v>90</v>
      </c>
      <c r="C83" s="2" t="s">
        <v>95</v>
      </c>
      <c r="D83" s="2" t="n">
        <v>42</v>
      </c>
      <c r="E83" s="2" t="s">
        <v>104</v>
      </c>
      <c r="F83" s="2" t="n">
        <v>7</v>
      </c>
      <c r="G83" s="2" t="s">
        <v>606</v>
      </c>
      <c r="H83" s="2" t="s">
        <v>608</v>
      </c>
      <c r="I83" s="2" t="s">
        <v>123</v>
      </c>
      <c r="J83" s="2" t="s">
        <v>595</v>
      </c>
      <c r="K83" s="2" t="s">
        <v>342</v>
      </c>
      <c r="L83" s="2" t="s">
        <v>343</v>
      </c>
      <c r="M83" s="23" t="b">
        <f aca="false">FALSE()</f>
        <v>0</v>
      </c>
      <c r="N83" s="2"/>
      <c r="O83" s="2" t="s">
        <v>158</v>
      </c>
      <c r="P83" s="2" t="s">
        <v>164</v>
      </c>
      <c r="Q83" s="2" t="s">
        <v>358</v>
      </c>
      <c r="R83" s="2" t="s">
        <v>359</v>
      </c>
      <c r="S83" s="2" t="s">
        <v>481</v>
      </c>
      <c r="T83" s="2" t="s">
        <v>178</v>
      </c>
      <c r="U83" s="2" t="n">
        <v>11</v>
      </c>
      <c r="V83" s="2" t="n">
        <v>10</v>
      </c>
      <c r="W83" s="2" t="n">
        <v>1</v>
      </c>
      <c r="X83" s="2" t="n">
        <v>4</v>
      </c>
      <c r="Y83" s="2" t="n">
        <v>3</v>
      </c>
      <c r="Z83" s="2" t="n">
        <v>3</v>
      </c>
      <c r="AA83" s="2" t="n">
        <v>8</v>
      </c>
      <c r="AB83" s="2" t="n">
        <v>69.16</v>
      </c>
      <c r="AC83" s="2" t="n">
        <v>65.53</v>
      </c>
      <c r="AD83" s="2" t="n">
        <v>0.5326</v>
      </c>
    </row>
    <row r="84" customFormat="false" ht="15" hidden="false" customHeight="false" outlineLevel="0" collapsed="false">
      <c r="A84" s="2" t="s">
        <v>84</v>
      </c>
      <c r="B84" s="2" t="s">
        <v>90</v>
      </c>
      <c r="C84" s="2" t="s">
        <v>95</v>
      </c>
      <c r="D84" s="2" t="n">
        <v>42</v>
      </c>
      <c r="E84" s="2" t="s">
        <v>104</v>
      </c>
      <c r="F84" s="2" t="n">
        <v>7</v>
      </c>
      <c r="G84" s="2" t="s">
        <v>609</v>
      </c>
      <c r="H84" s="2" t="s">
        <v>610</v>
      </c>
      <c r="I84" s="2" t="s">
        <v>123</v>
      </c>
      <c r="J84" s="2" t="s">
        <v>595</v>
      </c>
      <c r="K84" s="2" t="s">
        <v>362</v>
      </c>
      <c r="L84" s="2" t="s">
        <v>172</v>
      </c>
      <c r="M84" s="23" t="b">
        <f aca="false">TRUE()</f>
        <v>1</v>
      </c>
      <c r="N84" s="2" t="s">
        <v>152</v>
      </c>
      <c r="O84" s="2" t="s">
        <v>158</v>
      </c>
      <c r="P84" s="2" t="s">
        <v>236</v>
      </c>
      <c r="Q84" s="2" t="s">
        <v>360</v>
      </c>
      <c r="R84" s="2" t="s">
        <v>361</v>
      </c>
      <c r="S84" s="2" t="s">
        <v>175</v>
      </c>
      <c r="T84" s="2" t="s">
        <v>178</v>
      </c>
      <c r="U84" s="2" t="n">
        <v>31</v>
      </c>
      <c r="V84" s="2" t="n">
        <v>25</v>
      </c>
      <c r="W84" s="2" t="n">
        <v>6</v>
      </c>
      <c r="X84" s="2" t="n">
        <v>3</v>
      </c>
      <c r="Y84" s="2" t="n">
        <v>4</v>
      </c>
      <c r="Z84" s="2" t="n">
        <v>1</v>
      </c>
      <c r="AA84" s="2" t="n">
        <v>6</v>
      </c>
      <c r="AB84" s="2" t="n">
        <v>70.69</v>
      </c>
      <c r="AC84" s="2" t="n">
        <v>58.14</v>
      </c>
      <c r="AD84" s="2" t="n">
        <v>0.762</v>
      </c>
    </row>
    <row r="85" customFormat="false" ht="15" hidden="false" customHeight="false" outlineLevel="0" collapsed="false">
      <c r="A85" s="2" t="s">
        <v>84</v>
      </c>
      <c r="B85" s="2" t="s">
        <v>90</v>
      </c>
      <c r="C85" s="2" t="s">
        <v>95</v>
      </c>
      <c r="D85" s="2" t="n">
        <v>42</v>
      </c>
      <c r="E85" s="2" t="s">
        <v>104</v>
      </c>
      <c r="F85" s="2" t="n">
        <v>7</v>
      </c>
      <c r="G85" s="2" t="s">
        <v>609</v>
      </c>
      <c r="H85" s="2" t="s">
        <v>611</v>
      </c>
      <c r="I85" s="2" t="s">
        <v>123</v>
      </c>
      <c r="J85" s="2" t="s">
        <v>595</v>
      </c>
      <c r="K85" s="2" t="s">
        <v>360</v>
      </c>
      <c r="L85" s="2" t="s">
        <v>361</v>
      </c>
      <c r="M85" s="23" t="b">
        <f aca="false">FALSE()</f>
        <v>0</v>
      </c>
      <c r="N85" s="2"/>
      <c r="O85" s="2" t="s">
        <v>158</v>
      </c>
      <c r="P85" s="2" t="s">
        <v>236</v>
      </c>
      <c r="Q85" s="2" t="s">
        <v>362</v>
      </c>
      <c r="R85" s="2" t="s">
        <v>172</v>
      </c>
      <c r="S85" s="2" t="s">
        <v>481</v>
      </c>
      <c r="T85" s="2" t="s">
        <v>482</v>
      </c>
      <c r="U85" s="2" t="n">
        <v>25</v>
      </c>
      <c r="V85" s="2" t="n">
        <v>31</v>
      </c>
      <c r="W85" s="2" t="n">
        <v>-6</v>
      </c>
      <c r="X85" s="2" t="n">
        <v>3</v>
      </c>
      <c r="Y85" s="2" t="n">
        <v>4</v>
      </c>
      <c r="Z85" s="2" t="n">
        <v>-1</v>
      </c>
      <c r="AA85" s="2" t="n">
        <v>6</v>
      </c>
      <c r="AB85" s="2" t="n">
        <v>58.14</v>
      </c>
      <c r="AC85" s="2" t="n">
        <v>70.69</v>
      </c>
      <c r="AD85" s="2" t="n">
        <v>0.238</v>
      </c>
    </row>
    <row r="86" customFormat="false" ht="15" hidden="false" customHeight="false" outlineLevel="0" collapsed="false">
      <c r="A86" s="2" t="s">
        <v>84</v>
      </c>
      <c r="B86" s="2" t="s">
        <v>90</v>
      </c>
      <c r="C86" s="2" t="s">
        <v>95</v>
      </c>
      <c r="D86" s="2" t="n">
        <v>42</v>
      </c>
      <c r="E86" s="2" t="s">
        <v>104</v>
      </c>
      <c r="F86" s="2" t="n">
        <v>8</v>
      </c>
      <c r="G86" s="2" t="s">
        <v>612</v>
      </c>
      <c r="H86" s="2" t="s">
        <v>613</v>
      </c>
      <c r="I86" s="2" t="s">
        <v>123</v>
      </c>
      <c r="J86" s="2" t="s">
        <v>614</v>
      </c>
      <c r="K86" s="2" t="s">
        <v>348</v>
      </c>
      <c r="L86" s="2" t="s">
        <v>349</v>
      </c>
      <c r="M86" s="23" t="b">
        <f aca="false">FALSE()</f>
        <v>0</v>
      </c>
      <c r="N86" s="2"/>
      <c r="O86" s="2" t="s">
        <v>158</v>
      </c>
      <c r="P86" s="2" t="s">
        <v>164</v>
      </c>
      <c r="Q86" s="2" t="s">
        <v>341</v>
      </c>
      <c r="R86" s="2" t="s">
        <v>140</v>
      </c>
      <c r="S86" s="2" t="s">
        <v>175</v>
      </c>
      <c r="T86" s="2" t="s">
        <v>178</v>
      </c>
      <c r="U86" s="2" t="n">
        <v>33</v>
      </c>
      <c r="V86" s="2" t="n">
        <v>31</v>
      </c>
      <c r="W86" s="2" t="n">
        <v>2</v>
      </c>
      <c r="X86" s="2" t="n">
        <v>6</v>
      </c>
      <c r="Y86" s="2" t="n">
        <v>2</v>
      </c>
      <c r="Z86" s="2" t="n">
        <v>2</v>
      </c>
      <c r="AA86" s="2" t="n">
        <v>12</v>
      </c>
      <c r="AB86" s="2" t="n">
        <v>73.44</v>
      </c>
      <c r="AC86" s="2" t="n">
        <v>83.18</v>
      </c>
      <c r="AD86" s="2" t="n">
        <v>0.35</v>
      </c>
    </row>
    <row r="87" customFormat="false" ht="15" hidden="false" customHeight="false" outlineLevel="0" collapsed="false">
      <c r="A87" s="2" t="s">
        <v>84</v>
      </c>
      <c r="B87" s="2" t="s">
        <v>90</v>
      </c>
      <c r="C87" s="2" t="s">
        <v>95</v>
      </c>
      <c r="D87" s="2" t="n">
        <v>42</v>
      </c>
      <c r="E87" s="2" t="s">
        <v>104</v>
      </c>
      <c r="F87" s="2" t="n">
        <v>8</v>
      </c>
      <c r="G87" s="2" t="s">
        <v>612</v>
      </c>
      <c r="H87" s="2" t="s">
        <v>615</v>
      </c>
      <c r="I87" s="2" t="s">
        <v>123</v>
      </c>
      <c r="J87" s="2" t="s">
        <v>614</v>
      </c>
      <c r="K87" s="2" t="s">
        <v>341</v>
      </c>
      <c r="L87" s="2" t="s">
        <v>140</v>
      </c>
      <c r="M87" s="23" t="b">
        <f aca="false">FALSE()</f>
        <v>0</v>
      </c>
      <c r="N87" s="2"/>
      <c r="O87" s="2" t="s">
        <v>158</v>
      </c>
      <c r="P87" s="2" t="s">
        <v>164</v>
      </c>
      <c r="Q87" s="2" t="s">
        <v>348</v>
      </c>
      <c r="R87" s="2" t="s">
        <v>349</v>
      </c>
      <c r="S87" s="2" t="s">
        <v>481</v>
      </c>
      <c r="T87" s="2" t="s">
        <v>482</v>
      </c>
      <c r="U87" s="2" t="n">
        <v>31</v>
      </c>
      <c r="V87" s="2" t="n">
        <v>33</v>
      </c>
      <c r="W87" s="2" t="n">
        <v>-2</v>
      </c>
      <c r="X87" s="2" t="n">
        <v>4</v>
      </c>
      <c r="Y87" s="2" t="n">
        <v>4</v>
      </c>
      <c r="Z87" s="2" t="n">
        <v>-1</v>
      </c>
      <c r="AA87" s="2" t="n">
        <v>8</v>
      </c>
      <c r="AB87" s="2" t="n">
        <v>83.18</v>
      </c>
      <c r="AC87" s="2" t="n">
        <v>73.44</v>
      </c>
      <c r="AD87" s="2" t="n">
        <v>0.65</v>
      </c>
    </row>
    <row r="88" customFormat="false" ht="15" hidden="false" customHeight="false" outlineLevel="0" collapsed="false">
      <c r="A88" s="2" t="s">
        <v>84</v>
      </c>
      <c r="B88" s="2" t="s">
        <v>90</v>
      </c>
      <c r="C88" s="2" t="s">
        <v>95</v>
      </c>
      <c r="D88" s="2" t="n">
        <v>42</v>
      </c>
      <c r="E88" s="2" t="s">
        <v>104</v>
      </c>
      <c r="F88" s="2" t="n">
        <v>8</v>
      </c>
      <c r="G88" s="2" t="s">
        <v>616</v>
      </c>
      <c r="H88" s="2" t="s">
        <v>617</v>
      </c>
      <c r="I88" s="2" t="s">
        <v>123</v>
      </c>
      <c r="J88" s="2" t="s">
        <v>614</v>
      </c>
      <c r="K88" s="2" t="s">
        <v>350</v>
      </c>
      <c r="L88" s="2" t="s">
        <v>351</v>
      </c>
      <c r="M88" s="23" t="b">
        <f aca="false">FALSE()</f>
        <v>0</v>
      </c>
      <c r="N88" s="2"/>
      <c r="O88" s="2" t="s">
        <v>158</v>
      </c>
      <c r="P88" s="2" t="s">
        <v>164</v>
      </c>
      <c r="Q88" s="2" t="s">
        <v>346</v>
      </c>
      <c r="R88" s="2" t="s">
        <v>347</v>
      </c>
      <c r="S88" s="2" t="s">
        <v>175</v>
      </c>
      <c r="T88" s="2" t="s">
        <v>482</v>
      </c>
      <c r="U88" s="2" t="n">
        <v>19</v>
      </c>
      <c r="V88" s="2" t="n">
        <v>27</v>
      </c>
      <c r="W88" s="2" t="n">
        <v>-8</v>
      </c>
      <c r="X88" s="2" t="n">
        <v>3</v>
      </c>
      <c r="Y88" s="2" t="n">
        <v>5</v>
      </c>
      <c r="Z88" s="2" t="n">
        <v>-4</v>
      </c>
      <c r="AA88" s="2" t="n">
        <v>6</v>
      </c>
      <c r="AB88" s="2" t="n">
        <v>66.15</v>
      </c>
      <c r="AC88" s="2" t="n">
        <v>76.13</v>
      </c>
      <c r="AD88" s="2" t="n">
        <v>0.3455</v>
      </c>
    </row>
    <row r="89" customFormat="false" ht="15" hidden="false" customHeight="false" outlineLevel="0" collapsed="false">
      <c r="A89" s="2" t="s">
        <v>84</v>
      </c>
      <c r="B89" s="2" t="s">
        <v>90</v>
      </c>
      <c r="C89" s="2" t="s">
        <v>95</v>
      </c>
      <c r="D89" s="2" t="n">
        <v>42</v>
      </c>
      <c r="E89" s="2" t="s">
        <v>104</v>
      </c>
      <c r="F89" s="2" t="n">
        <v>8</v>
      </c>
      <c r="G89" s="2" t="s">
        <v>616</v>
      </c>
      <c r="H89" s="2" t="s">
        <v>618</v>
      </c>
      <c r="I89" s="2" t="s">
        <v>123</v>
      </c>
      <c r="J89" s="2" t="s">
        <v>614</v>
      </c>
      <c r="K89" s="2" t="s">
        <v>346</v>
      </c>
      <c r="L89" s="2" t="s">
        <v>347</v>
      </c>
      <c r="M89" s="23" t="b">
        <f aca="false">FALSE()</f>
        <v>0</v>
      </c>
      <c r="N89" s="2"/>
      <c r="O89" s="2" t="s">
        <v>158</v>
      </c>
      <c r="P89" s="2" t="s">
        <v>164</v>
      </c>
      <c r="Q89" s="2" t="s">
        <v>350</v>
      </c>
      <c r="R89" s="2" t="s">
        <v>351</v>
      </c>
      <c r="S89" s="2" t="s">
        <v>481</v>
      </c>
      <c r="T89" s="2" t="s">
        <v>178</v>
      </c>
      <c r="U89" s="2" t="n">
        <v>27</v>
      </c>
      <c r="V89" s="2" t="n">
        <v>19</v>
      </c>
      <c r="W89" s="2" t="n">
        <v>8</v>
      </c>
      <c r="X89" s="2" t="n">
        <v>4</v>
      </c>
      <c r="Y89" s="2" t="n">
        <v>4</v>
      </c>
      <c r="Z89" s="2" t="n">
        <v>3</v>
      </c>
      <c r="AA89" s="2" t="n">
        <v>8</v>
      </c>
      <c r="AB89" s="2" t="n">
        <v>76.13</v>
      </c>
      <c r="AC89" s="2" t="n">
        <v>66.15</v>
      </c>
      <c r="AD89" s="2" t="n">
        <v>0.6545</v>
      </c>
    </row>
    <row r="90" customFormat="false" ht="15" hidden="false" customHeight="false" outlineLevel="0" collapsed="false">
      <c r="A90" s="2" t="s">
        <v>84</v>
      </c>
      <c r="B90" s="2" t="s">
        <v>90</v>
      </c>
      <c r="C90" s="2" t="s">
        <v>95</v>
      </c>
      <c r="D90" s="2" t="n">
        <v>42</v>
      </c>
      <c r="E90" s="2" t="s">
        <v>104</v>
      </c>
      <c r="F90" s="2" t="n">
        <v>8</v>
      </c>
      <c r="G90" s="2" t="s">
        <v>619</v>
      </c>
      <c r="H90" s="2" t="s">
        <v>620</v>
      </c>
      <c r="I90" s="2" t="s">
        <v>123</v>
      </c>
      <c r="J90" s="2" t="s">
        <v>614</v>
      </c>
      <c r="K90" s="2" t="s">
        <v>344</v>
      </c>
      <c r="L90" s="2" t="s">
        <v>345</v>
      </c>
      <c r="M90" s="23" t="b">
        <f aca="false">FALSE()</f>
        <v>0</v>
      </c>
      <c r="N90" s="2"/>
      <c r="O90" s="2" t="s">
        <v>158</v>
      </c>
      <c r="P90" s="2" t="s">
        <v>164</v>
      </c>
      <c r="Q90" s="2" t="s">
        <v>352</v>
      </c>
      <c r="R90" s="2" t="s">
        <v>353</v>
      </c>
      <c r="S90" s="2" t="s">
        <v>175</v>
      </c>
      <c r="T90" s="2" t="s">
        <v>482</v>
      </c>
      <c r="U90" s="2" t="n">
        <v>22</v>
      </c>
      <c r="V90" s="2" t="n">
        <v>27</v>
      </c>
      <c r="W90" s="2" t="n">
        <v>-5</v>
      </c>
      <c r="X90" s="2" t="n">
        <v>2</v>
      </c>
      <c r="Y90" s="2" t="n">
        <v>6</v>
      </c>
      <c r="Z90" s="2" t="n">
        <v>-4</v>
      </c>
      <c r="AA90" s="2" t="n">
        <v>4</v>
      </c>
      <c r="AB90" s="2" t="n">
        <v>63.04</v>
      </c>
      <c r="AC90" s="2" t="n">
        <v>76.32</v>
      </c>
      <c r="AD90" s="2" t="n">
        <v>0.2885</v>
      </c>
    </row>
    <row r="91" customFormat="false" ht="15" hidden="false" customHeight="false" outlineLevel="0" collapsed="false">
      <c r="A91" s="2" t="s">
        <v>84</v>
      </c>
      <c r="B91" s="2" t="s">
        <v>90</v>
      </c>
      <c r="C91" s="2" t="s">
        <v>95</v>
      </c>
      <c r="D91" s="2" t="n">
        <v>42</v>
      </c>
      <c r="E91" s="2" t="s">
        <v>104</v>
      </c>
      <c r="F91" s="2" t="n">
        <v>8</v>
      </c>
      <c r="G91" s="2" t="s">
        <v>619</v>
      </c>
      <c r="H91" s="2" t="s">
        <v>621</v>
      </c>
      <c r="I91" s="2" t="s">
        <v>123</v>
      </c>
      <c r="J91" s="2" t="s">
        <v>614</v>
      </c>
      <c r="K91" s="2" t="s">
        <v>352</v>
      </c>
      <c r="L91" s="2" t="s">
        <v>353</v>
      </c>
      <c r="M91" s="23" t="b">
        <f aca="false">FALSE()</f>
        <v>0</v>
      </c>
      <c r="N91" s="2"/>
      <c r="O91" s="2" t="s">
        <v>158</v>
      </c>
      <c r="P91" s="2" t="s">
        <v>236</v>
      </c>
      <c r="Q91" s="2" t="s">
        <v>344</v>
      </c>
      <c r="R91" s="2" t="s">
        <v>345</v>
      </c>
      <c r="S91" s="2" t="s">
        <v>481</v>
      </c>
      <c r="T91" s="2" t="s">
        <v>178</v>
      </c>
      <c r="U91" s="2" t="n">
        <v>27</v>
      </c>
      <c r="V91" s="2" t="n">
        <v>22</v>
      </c>
      <c r="W91" s="2" t="n">
        <v>5</v>
      </c>
      <c r="X91" s="2" t="n">
        <v>5</v>
      </c>
      <c r="Y91" s="2" t="n">
        <v>3</v>
      </c>
      <c r="Z91" s="2" t="n">
        <v>1</v>
      </c>
      <c r="AA91" s="2" t="n">
        <v>10</v>
      </c>
      <c r="AB91" s="2" t="n">
        <v>76.32</v>
      </c>
      <c r="AC91" s="2" t="n">
        <v>63.04</v>
      </c>
      <c r="AD91" s="2" t="n">
        <v>0.7115</v>
      </c>
    </row>
    <row r="92" customFormat="false" ht="15" hidden="false" customHeight="false" outlineLevel="0" collapsed="false">
      <c r="A92" s="2" t="s">
        <v>84</v>
      </c>
      <c r="B92" s="2" t="s">
        <v>90</v>
      </c>
      <c r="C92" s="2" t="s">
        <v>95</v>
      </c>
      <c r="D92" s="2" t="n">
        <v>42</v>
      </c>
      <c r="E92" s="2" t="s">
        <v>104</v>
      </c>
      <c r="F92" s="2" t="n">
        <v>8</v>
      </c>
      <c r="G92" s="2" t="s">
        <v>622</v>
      </c>
      <c r="H92" s="2" t="s">
        <v>623</v>
      </c>
      <c r="I92" s="2" t="s">
        <v>123</v>
      </c>
      <c r="J92" s="2" t="s">
        <v>614</v>
      </c>
      <c r="K92" s="2" t="s">
        <v>354</v>
      </c>
      <c r="L92" s="2" t="s">
        <v>355</v>
      </c>
      <c r="M92" s="23" t="b">
        <f aca="false">FALSE()</f>
        <v>0</v>
      </c>
      <c r="N92" s="2"/>
      <c r="O92" s="2" t="s">
        <v>158</v>
      </c>
      <c r="P92" s="2" t="s">
        <v>236</v>
      </c>
      <c r="Q92" s="2" t="s">
        <v>342</v>
      </c>
      <c r="R92" s="2" t="s">
        <v>343</v>
      </c>
      <c r="S92" s="2" t="s">
        <v>175</v>
      </c>
      <c r="T92" s="2" t="s">
        <v>178</v>
      </c>
      <c r="U92" s="2" t="n">
        <v>38</v>
      </c>
      <c r="V92" s="2" t="n">
        <v>29</v>
      </c>
      <c r="W92" s="2" t="n">
        <v>9</v>
      </c>
      <c r="X92" s="2" t="n">
        <v>4</v>
      </c>
      <c r="Y92" s="2" t="n">
        <v>4</v>
      </c>
      <c r="Z92" s="2" t="n">
        <v>1</v>
      </c>
      <c r="AA92" s="2" t="n">
        <v>8</v>
      </c>
      <c r="AB92" s="2" t="n">
        <v>71.54</v>
      </c>
      <c r="AC92" s="2" t="n">
        <v>69.16</v>
      </c>
      <c r="AD92" s="2" t="n">
        <v>0.5867</v>
      </c>
    </row>
    <row r="93" customFormat="false" ht="15" hidden="false" customHeight="false" outlineLevel="0" collapsed="false">
      <c r="A93" s="2" t="s">
        <v>84</v>
      </c>
      <c r="B93" s="2" t="s">
        <v>90</v>
      </c>
      <c r="C93" s="2" t="s">
        <v>95</v>
      </c>
      <c r="D93" s="2" t="n">
        <v>42</v>
      </c>
      <c r="E93" s="2" t="s">
        <v>104</v>
      </c>
      <c r="F93" s="2" t="n">
        <v>8</v>
      </c>
      <c r="G93" s="2" t="s">
        <v>622</v>
      </c>
      <c r="H93" s="2" t="s">
        <v>624</v>
      </c>
      <c r="I93" s="2" t="s">
        <v>123</v>
      </c>
      <c r="J93" s="2" t="s">
        <v>614</v>
      </c>
      <c r="K93" s="2" t="s">
        <v>342</v>
      </c>
      <c r="L93" s="2" t="s">
        <v>343</v>
      </c>
      <c r="M93" s="23" t="b">
        <f aca="false">FALSE()</f>
        <v>0</v>
      </c>
      <c r="N93" s="2"/>
      <c r="O93" s="2" t="s">
        <v>158</v>
      </c>
      <c r="P93" s="2" t="s">
        <v>164</v>
      </c>
      <c r="Q93" s="2" t="s">
        <v>354</v>
      </c>
      <c r="R93" s="2" t="s">
        <v>355</v>
      </c>
      <c r="S93" s="2" t="s">
        <v>481</v>
      </c>
      <c r="T93" s="2" t="s">
        <v>482</v>
      </c>
      <c r="U93" s="2" t="n">
        <v>29</v>
      </c>
      <c r="V93" s="2" t="n">
        <v>38</v>
      </c>
      <c r="W93" s="2" t="n">
        <v>-9</v>
      </c>
      <c r="X93" s="2" t="n">
        <v>4</v>
      </c>
      <c r="Y93" s="2" t="n">
        <v>4</v>
      </c>
      <c r="Z93" s="2" t="n">
        <v>-1</v>
      </c>
      <c r="AA93" s="2" t="n">
        <v>8</v>
      </c>
      <c r="AB93" s="2" t="n">
        <v>69.16</v>
      </c>
      <c r="AC93" s="2" t="n">
        <v>71.54</v>
      </c>
      <c r="AD93" s="2" t="n">
        <v>0.4133</v>
      </c>
    </row>
    <row r="94" customFormat="false" ht="15" hidden="false" customHeight="false" outlineLevel="0" collapsed="false">
      <c r="A94" s="2" t="s">
        <v>84</v>
      </c>
      <c r="B94" s="2" t="s">
        <v>90</v>
      </c>
      <c r="C94" s="2" t="s">
        <v>95</v>
      </c>
      <c r="D94" s="2" t="n">
        <v>42</v>
      </c>
      <c r="E94" s="2" t="s">
        <v>104</v>
      </c>
      <c r="F94" s="2" t="n">
        <v>8</v>
      </c>
      <c r="G94" s="2" t="s">
        <v>625</v>
      </c>
      <c r="H94" s="2" t="s">
        <v>626</v>
      </c>
      <c r="I94" s="2" t="s">
        <v>123</v>
      </c>
      <c r="J94" s="2" t="s">
        <v>614</v>
      </c>
      <c r="K94" s="2" t="s">
        <v>362</v>
      </c>
      <c r="L94" s="2" t="s">
        <v>172</v>
      </c>
      <c r="M94" s="23" t="b">
        <f aca="false">TRUE()</f>
        <v>1</v>
      </c>
      <c r="N94" s="2" t="s">
        <v>152</v>
      </c>
      <c r="O94" s="2" t="s">
        <v>158</v>
      </c>
      <c r="P94" s="2" t="s">
        <v>236</v>
      </c>
      <c r="Q94" s="2" t="s">
        <v>356</v>
      </c>
      <c r="R94" s="2" t="s">
        <v>357</v>
      </c>
      <c r="S94" s="2" t="s">
        <v>175</v>
      </c>
      <c r="T94" s="2" t="s">
        <v>482</v>
      </c>
      <c r="U94" s="2" t="n">
        <v>25</v>
      </c>
      <c r="V94" s="2" t="n">
        <v>35</v>
      </c>
      <c r="W94" s="2" t="n">
        <v>-10</v>
      </c>
      <c r="X94" s="2" t="n">
        <v>3</v>
      </c>
      <c r="Y94" s="2" t="n">
        <v>5</v>
      </c>
      <c r="Z94" s="2" t="n">
        <v>-1</v>
      </c>
      <c r="AA94" s="2" t="n">
        <v>6</v>
      </c>
      <c r="AB94" s="2" t="n">
        <v>70.69</v>
      </c>
      <c r="AC94" s="2" t="n">
        <v>68.39</v>
      </c>
      <c r="AD94" s="2" t="n">
        <v>0.5851</v>
      </c>
    </row>
    <row r="95" customFormat="false" ht="15" hidden="false" customHeight="false" outlineLevel="0" collapsed="false">
      <c r="A95" s="2" t="s">
        <v>84</v>
      </c>
      <c r="B95" s="2" t="s">
        <v>90</v>
      </c>
      <c r="C95" s="2" t="s">
        <v>95</v>
      </c>
      <c r="D95" s="2" t="n">
        <v>42</v>
      </c>
      <c r="E95" s="2" t="s">
        <v>104</v>
      </c>
      <c r="F95" s="2" t="n">
        <v>8</v>
      </c>
      <c r="G95" s="2" t="s">
        <v>625</v>
      </c>
      <c r="H95" s="2" t="s">
        <v>627</v>
      </c>
      <c r="I95" s="2" t="s">
        <v>123</v>
      </c>
      <c r="J95" s="2" t="s">
        <v>614</v>
      </c>
      <c r="K95" s="2" t="s">
        <v>356</v>
      </c>
      <c r="L95" s="2" t="s">
        <v>357</v>
      </c>
      <c r="M95" s="23" t="b">
        <f aca="false">FALSE()</f>
        <v>0</v>
      </c>
      <c r="N95" s="2"/>
      <c r="O95" s="2" t="s">
        <v>158</v>
      </c>
      <c r="P95" s="2" t="s">
        <v>236</v>
      </c>
      <c r="Q95" s="2" t="s">
        <v>362</v>
      </c>
      <c r="R95" s="2" t="s">
        <v>172</v>
      </c>
      <c r="S95" s="2" t="s">
        <v>481</v>
      </c>
      <c r="T95" s="2" t="s">
        <v>178</v>
      </c>
      <c r="U95" s="2" t="n">
        <v>35</v>
      </c>
      <c r="V95" s="2" t="n">
        <v>25</v>
      </c>
      <c r="W95" s="2" t="n">
        <v>10</v>
      </c>
      <c r="X95" s="2" t="n">
        <v>5</v>
      </c>
      <c r="Y95" s="2" t="n">
        <v>3</v>
      </c>
      <c r="Z95" s="2" t="n">
        <v>3</v>
      </c>
      <c r="AA95" s="2" t="n">
        <v>10</v>
      </c>
      <c r="AB95" s="2" t="n">
        <v>68.39</v>
      </c>
      <c r="AC95" s="2" t="n">
        <v>70.69</v>
      </c>
      <c r="AD95" s="2" t="n">
        <v>0.4149</v>
      </c>
    </row>
    <row r="96" customFormat="false" ht="15" hidden="false" customHeight="false" outlineLevel="0" collapsed="false">
      <c r="A96" s="2" t="s">
        <v>84</v>
      </c>
      <c r="B96" s="2" t="s">
        <v>90</v>
      </c>
      <c r="C96" s="2" t="s">
        <v>95</v>
      </c>
      <c r="D96" s="2" t="n">
        <v>42</v>
      </c>
      <c r="E96" s="2" t="s">
        <v>104</v>
      </c>
      <c r="F96" s="2" t="n">
        <v>8</v>
      </c>
      <c r="G96" s="2" t="s">
        <v>628</v>
      </c>
      <c r="H96" s="2" t="s">
        <v>629</v>
      </c>
      <c r="I96" s="2" t="s">
        <v>123</v>
      </c>
      <c r="J96" s="2" t="s">
        <v>614</v>
      </c>
      <c r="K96" s="2" t="s">
        <v>358</v>
      </c>
      <c r="L96" s="2" t="s">
        <v>359</v>
      </c>
      <c r="M96" s="23" t="b">
        <f aca="false">FALSE()</f>
        <v>0</v>
      </c>
      <c r="N96" s="2"/>
      <c r="O96" s="2" t="s">
        <v>158</v>
      </c>
      <c r="P96" s="2" t="s">
        <v>236</v>
      </c>
      <c r="Q96" s="2" t="s">
        <v>360</v>
      </c>
      <c r="R96" s="2" t="s">
        <v>361</v>
      </c>
      <c r="S96" s="2" t="s">
        <v>175</v>
      </c>
      <c r="T96" s="2" t="s">
        <v>178</v>
      </c>
      <c r="U96" s="2" t="n">
        <v>40</v>
      </c>
      <c r="V96" s="2" t="n">
        <v>19</v>
      </c>
      <c r="W96" s="2" t="n">
        <v>21</v>
      </c>
      <c r="X96" s="2" t="n">
        <v>5</v>
      </c>
      <c r="Y96" s="2" t="n">
        <v>3</v>
      </c>
      <c r="Z96" s="2" t="n">
        <v>1</v>
      </c>
      <c r="AA96" s="2" t="n">
        <v>10</v>
      </c>
      <c r="AB96" s="2" t="n">
        <v>65.53</v>
      </c>
      <c r="AC96" s="2" t="n">
        <v>58.14</v>
      </c>
      <c r="AD96" s="2" t="n">
        <v>0.6794</v>
      </c>
    </row>
    <row r="97" customFormat="false" ht="15" hidden="false" customHeight="false" outlineLevel="0" collapsed="false">
      <c r="A97" s="2" t="s">
        <v>84</v>
      </c>
      <c r="B97" s="2" t="s">
        <v>90</v>
      </c>
      <c r="C97" s="2" t="s">
        <v>95</v>
      </c>
      <c r="D97" s="2" t="n">
        <v>42</v>
      </c>
      <c r="E97" s="2" t="s">
        <v>104</v>
      </c>
      <c r="F97" s="2" t="n">
        <v>8</v>
      </c>
      <c r="G97" s="2" t="s">
        <v>628</v>
      </c>
      <c r="H97" s="2" t="s">
        <v>630</v>
      </c>
      <c r="I97" s="2" t="s">
        <v>123</v>
      </c>
      <c r="J97" s="2" t="s">
        <v>614</v>
      </c>
      <c r="K97" s="2" t="s">
        <v>360</v>
      </c>
      <c r="L97" s="2" t="s">
        <v>361</v>
      </c>
      <c r="M97" s="23" t="b">
        <f aca="false">FALSE()</f>
        <v>0</v>
      </c>
      <c r="N97" s="2"/>
      <c r="O97" s="2" t="s">
        <v>158</v>
      </c>
      <c r="P97" s="2" t="s">
        <v>236</v>
      </c>
      <c r="Q97" s="2" t="s">
        <v>358</v>
      </c>
      <c r="R97" s="2" t="s">
        <v>359</v>
      </c>
      <c r="S97" s="2" t="s">
        <v>481</v>
      </c>
      <c r="T97" s="2" t="s">
        <v>482</v>
      </c>
      <c r="U97" s="2" t="n">
        <v>19</v>
      </c>
      <c r="V97" s="2" t="n">
        <v>40</v>
      </c>
      <c r="W97" s="2" t="n">
        <v>-21</v>
      </c>
      <c r="X97" s="2" t="n">
        <v>3</v>
      </c>
      <c r="Y97" s="2" t="n">
        <v>5</v>
      </c>
      <c r="Z97" s="2" t="n">
        <v>-2</v>
      </c>
      <c r="AA97" s="2" t="n">
        <v>6</v>
      </c>
      <c r="AB97" s="2" t="n">
        <v>58.14</v>
      </c>
      <c r="AC97" s="2" t="n">
        <v>65.53</v>
      </c>
      <c r="AD97" s="2" t="n">
        <v>0.3206</v>
      </c>
    </row>
    <row r="98" customFormat="false" ht="15" hidden="false" customHeight="false" outlineLevel="0" collapsed="false">
      <c r="A98" s="2" t="s">
        <v>84</v>
      </c>
      <c r="B98" s="2" t="s">
        <v>90</v>
      </c>
      <c r="C98" s="2" t="s">
        <v>95</v>
      </c>
      <c r="D98" s="2" t="n">
        <v>42</v>
      </c>
      <c r="E98" s="2" t="s">
        <v>104</v>
      </c>
      <c r="F98" s="2" t="n">
        <v>9</v>
      </c>
      <c r="G98" s="2" t="s">
        <v>631</v>
      </c>
      <c r="H98" s="2" t="s">
        <v>632</v>
      </c>
      <c r="I98" s="2" t="s">
        <v>123</v>
      </c>
      <c r="J98" s="2" t="s">
        <v>633</v>
      </c>
      <c r="K98" s="2" t="s">
        <v>341</v>
      </c>
      <c r="L98" s="2" t="s">
        <v>140</v>
      </c>
      <c r="M98" s="23" t="b">
        <f aca="false">FALSE()</f>
        <v>0</v>
      </c>
      <c r="N98" s="2"/>
      <c r="O98" s="2" t="s">
        <v>158</v>
      </c>
      <c r="P98" s="2" t="s">
        <v>164</v>
      </c>
      <c r="Q98" s="2" t="s">
        <v>346</v>
      </c>
      <c r="R98" s="2" t="s">
        <v>347</v>
      </c>
      <c r="S98" s="2" t="s">
        <v>175</v>
      </c>
      <c r="T98" s="2" t="s">
        <v>178</v>
      </c>
      <c r="U98" s="2" t="n">
        <v>36</v>
      </c>
      <c r="V98" s="2" t="n">
        <v>22</v>
      </c>
      <c r="W98" s="2" t="n">
        <v>14</v>
      </c>
      <c r="X98" s="2" t="n">
        <v>5</v>
      </c>
      <c r="Y98" s="2" t="n">
        <v>4</v>
      </c>
      <c r="Z98" s="2" t="n">
        <v>1</v>
      </c>
      <c r="AA98" s="2" t="n">
        <v>10</v>
      </c>
      <c r="AB98" s="2" t="n">
        <v>83.18</v>
      </c>
      <c r="AC98" s="2" t="n">
        <v>76.13</v>
      </c>
      <c r="AD98" s="2" t="n">
        <v>0.6734</v>
      </c>
    </row>
    <row r="99" customFormat="false" ht="15" hidden="false" customHeight="false" outlineLevel="0" collapsed="false">
      <c r="A99" s="2" t="s">
        <v>84</v>
      </c>
      <c r="B99" s="2" t="s">
        <v>90</v>
      </c>
      <c r="C99" s="2" t="s">
        <v>95</v>
      </c>
      <c r="D99" s="2" t="n">
        <v>42</v>
      </c>
      <c r="E99" s="2" t="s">
        <v>104</v>
      </c>
      <c r="F99" s="2" t="n">
        <v>9</v>
      </c>
      <c r="G99" s="2" t="s">
        <v>631</v>
      </c>
      <c r="H99" s="2" t="s">
        <v>634</v>
      </c>
      <c r="I99" s="2" t="s">
        <v>123</v>
      </c>
      <c r="J99" s="2" t="s">
        <v>633</v>
      </c>
      <c r="K99" s="2" t="s">
        <v>346</v>
      </c>
      <c r="L99" s="2" t="s">
        <v>347</v>
      </c>
      <c r="M99" s="23" t="b">
        <f aca="false">FALSE()</f>
        <v>0</v>
      </c>
      <c r="N99" s="2"/>
      <c r="O99" s="2" t="s">
        <v>158</v>
      </c>
      <c r="P99" s="2" t="s">
        <v>164</v>
      </c>
      <c r="Q99" s="2" t="s">
        <v>341</v>
      </c>
      <c r="R99" s="2" t="s">
        <v>140</v>
      </c>
      <c r="S99" s="2" t="s">
        <v>481</v>
      </c>
      <c r="T99" s="2" t="s">
        <v>482</v>
      </c>
      <c r="U99" s="2" t="n">
        <v>22</v>
      </c>
      <c r="V99" s="2" t="n">
        <v>36</v>
      </c>
      <c r="W99" s="2" t="n">
        <v>-14</v>
      </c>
      <c r="X99" s="2" t="n">
        <v>4</v>
      </c>
      <c r="Y99" s="2" t="n">
        <v>5</v>
      </c>
      <c r="Z99" s="2" t="n">
        <v>-1</v>
      </c>
      <c r="AA99" s="2" t="n">
        <v>8</v>
      </c>
      <c r="AB99" s="2" t="n">
        <v>76.13</v>
      </c>
      <c r="AC99" s="2" t="n">
        <v>83.18</v>
      </c>
      <c r="AD99" s="2" t="n">
        <v>0.3266</v>
      </c>
    </row>
    <row r="100" customFormat="false" ht="15" hidden="false" customHeight="false" outlineLevel="0" collapsed="false">
      <c r="A100" s="2" t="s">
        <v>84</v>
      </c>
      <c r="B100" s="2" t="s">
        <v>90</v>
      </c>
      <c r="C100" s="2" t="s">
        <v>95</v>
      </c>
      <c r="D100" s="2" t="n">
        <v>42</v>
      </c>
      <c r="E100" s="2" t="s">
        <v>104</v>
      </c>
      <c r="F100" s="2" t="n">
        <v>9</v>
      </c>
      <c r="G100" s="2" t="s">
        <v>635</v>
      </c>
      <c r="H100" s="2" t="s">
        <v>636</v>
      </c>
      <c r="I100" s="2" t="s">
        <v>123</v>
      </c>
      <c r="J100" s="2" t="s">
        <v>633</v>
      </c>
      <c r="K100" s="2" t="s">
        <v>344</v>
      </c>
      <c r="L100" s="2" t="s">
        <v>345</v>
      </c>
      <c r="M100" s="23" t="b">
        <f aca="false">FALSE()</f>
        <v>0</v>
      </c>
      <c r="N100" s="2"/>
      <c r="O100" s="2" t="s">
        <v>158</v>
      </c>
      <c r="P100" s="2" t="s">
        <v>164</v>
      </c>
      <c r="Q100" s="2" t="s">
        <v>348</v>
      </c>
      <c r="R100" s="2" t="s">
        <v>349</v>
      </c>
      <c r="S100" s="2" t="s">
        <v>175</v>
      </c>
      <c r="T100" s="2" t="s">
        <v>482</v>
      </c>
      <c r="U100" s="2" t="n">
        <v>22</v>
      </c>
      <c r="V100" s="2" t="n">
        <v>34</v>
      </c>
      <c r="W100" s="2" t="n">
        <v>-12</v>
      </c>
      <c r="X100" s="2" t="n">
        <v>2</v>
      </c>
      <c r="Y100" s="2" t="n">
        <v>7</v>
      </c>
      <c r="Z100" s="2" t="n">
        <v>-5</v>
      </c>
      <c r="AA100" s="2" t="n">
        <v>4</v>
      </c>
      <c r="AB100" s="2" t="n">
        <v>63.04</v>
      </c>
      <c r="AC100" s="2" t="n">
        <v>73.44</v>
      </c>
      <c r="AD100" s="2" t="n">
        <v>0.338</v>
      </c>
    </row>
    <row r="101" customFormat="false" ht="15" hidden="false" customHeight="false" outlineLevel="0" collapsed="false">
      <c r="A101" s="2" t="s">
        <v>84</v>
      </c>
      <c r="B101" s="2" t="s">
        <v>90</v>
      </c>
      <c r="C101" s="2" t="s">
        <v>95</v>
      </c>
      <c r="D101" s="2" t="n">
        <v>42</v>
      </c>
      <c r="E101" s="2" t="s">
        <v>104</v>
      </c>
      <c r="F101" s="2" t="n">
        <v>9</v>
      </c>
      <c r="G101" s="2" t="s">
        <v>635</v>
      </c>
      <c r="H101" s="2" t="s">
        <v>637</v>
      </c>
      <c r="I101" s="2" t="s">
        <v>123</v>
      </c>
      <c r="J101" s="2" t="s">
        <v>633</v>
      </c>
      <c r="K101" s="2" t="s">
        <v>348</v>
      </c>
      <c r="L101" s="2" t="s">
        <v>349</v>
      </c>
      <c r="M101" s="23" t="b">
        <f aca="false">FALSE()</f>
        <v>0</v>
      </c>
      <c r="N101" s="2"/>
      <c r="O101" s="2" t="s">
        <v>158</v>
      </c>
      <c r="P101" s="2" t="s">
        <v>164</v>
      </c>
      <c r="Q101" s="2" t="s">
        <v>344</v>
      </c>
      <c r="R101" s="2" t="s">
        <v>345</v>
      </c>
      <c r="S101" s="2" t="s">
        <v>481</v>
      </c>
      <c r="T101" s="2" t="s">
        <v>178</v>
      </c>
      <c r="U101" s="2" t="n">
        <v>34</v>
      </c>
      <c r="V101" s="2" t="n">
        <v>22</v>
      </c>
      <c r="W101" s="2" t="n">
        <v>12</v>
      </c>
      <c r="X101" s="2" t="n">
        <v>7</v>
      </c>
      <c r="Y101" s="2" t="n">
        <v>2</v>
      </c>
      <c r="Z101" s="2" t="n">
        <v>3</v>
      </c>
      <c r="AA101" s="2" t="n">
        <v>14</v>
      </c>
      <c r="AB101" s="2" t="n">
        <v>73.44</v>
      </c>
      <c r="AC101" s="2" t="n">
        <v>63.04</v>
      </c>
      <c r="AD101" s="2" t="n">
        <v>0.662</v>
      </c>
    </row>
    <row r="102" customFormat="false" ht="15" hidden="false" customHeight="false" outlineLevel="0" collapsed="false">
      <c r="A102" s="2" t="s">
        <v>84</v>
      </c>
      <c r="B102" s="2" t="s">
        <v>90</v>
      </c>
      <c r="C102" s="2" t="s">
        <v>95</v>
      </c>
      <c r="D102" s="2" t="n">
        <v>42</v>
      </c>
      <c r="E102" s="2" t="s">
        <v>104</v>
      </c>
      <c r="F102" s="2" t="n">
        <v>9</v>
      </c>
      <c r="G102" s="2" t="s">
        <v>638</v>
      </c>
      <c r="H102" s="2" t="s">
        <v>639</v>
      </c>
      <c r="I102" s="2" t="s">
        <v>123</v>
      </c>
      <c r="J102" s="2" t="s">
        <v>633</v>
      </c>
      <c r="K102" s="2" t="s">
        <v>350</v>
      </c>
      <c r="L102" s="2" t="s">
        <v>351</v>
      </c>
      <c r="M102" s="23" t="b">
        <f aca="false">FALSE()</f>
        <v>0</v>
      </c>
      <c r="N102" s="2"/>
      <c r="O102" s="2" t="s">
        <v>158</v>
      </c>
      <c r="P102" s="2" t="s">
        <v>164</v>
      </c>
      <c r="Q102" s="2" t="s">
        <v>342</v>
      </c>
      <c r="R102" s="2" t="s">
        <v>343</v>
      </c>
      <c r="S102" s="2" t="s">
        <v>175</v>
      </c>
      <c r="T102" s="2" t="s">
        <v>482</v>
      </c>
      <c r="U102" s="2" t="n">
        <v>16</v>
      </c>
      <c r="V102" s="2" t="n">
        <v>19</v>
      </c>
      <c r="W102" s="2" t="n">
        <v>-3</v>
      </c>
      <c r="X102" s="2" t="n">
        <v>3</v>
      </c>
      <c r="Y102" s="2" t="n">
        <v>6</v>
      </c>
      <c r="Z102" s="2" t="n">
        <v>-5</v>
      </c>
      <c r="AA102" s="2" t="n">
        <v>6</v>
      </c>
      <c r="AB102" s="2" t="n">
        <v>66.15</v>
      </c>
      <c r="AC102" s="2" t="n">
        <v>69.16</v>
      </c>
      <c r="AD102" s="2" t="n">
        <v>0.4799</v>
      </c>
    </row>
    <row r="103" customFormat="false" ht="15" hidden="false" customHeight="false" outlineLevel="0" collapsed="false">
      <c r="A103" s="2" t="s">
        <v>84</v>
      </c>
      <c r="B103" s="2" t="s">
        <v>90</v>
      </c>
      <c r="C103" s="2" t="s">
        <v>95</v>
      </c>
      <c r="D103" s="2" t="n">
        <v>42</v>
      </c>
      <c r="E103" s="2" t="s">
        <v>104</v>
      </c>
      <c r="F103" s="2" t="n">
        <v>9</v>
      </c>
      <c r="G103" s="2" t="s">
        <v>638</v>
      </c>
      <c r="H103" s="2" t="s">
        <v>640</v>
      </c>
      <c r="I103" s="2" t="s">
        <v>123</v>
      </c>
      <c r="J103" s="2" t="s">
        <v>633</v>
      </c>
      <c r="K103" s="2" t="s">
        <v>342</v>
      </c>
      <c r="L103" s="2" t="s">
        <v>343</v>
      </c>
      <c r="M103" s="23" t="b">
        <f aca="false">FALSE()</f>
        <v>0</v>
      </c>
      <c r="N103" s="2"/>
      <c r="O103" s="2" t="s">
        <v>158</v>
      </c>
      <c r="P103" s="2" t="s">
        <v>164</v>
      </c>
      <c r="Q103" s="2" t="s">
        <v>350</v>
      </c>
      <c r="R103" s="2" t="s">
        <v>351</v>
      </c>
      <c r="S103" s="2" t="s">
        <v>481</v>
      </c>
      <c r="T103" s="2" t="s">
        <v>178</v>
      </c>
      <c r="U103" s="2" t="n">
        <v>19</v>
      </c>
      <c r="V103" s="2" t="n">
        <v>16</v>
      </c>
      <c r="W103" s="2" t="n">
        <v>3</v>
      </c>
      <c r="X103" s="2" t="n">
        <v>5</v>
      </c>
      <c r="Y103" s="2" t="n">
        <v>4</v>
      </c>
      <c r="Z103" s="2" t="n">
        <v>1</v>
      </c>
      <c r="AA103" s="2" t="n">
        <v>10</v>
      </c>
      <c r="AB103" s="2" t="n">
        <v>69.16</v>
      </c>
      <c r="AC103" s="2" t="n">
        <v>66.15</v>
      </c>
      <c r="AD103" s="2" t="n">
        <v>0.5201</v>
      </c>
    </row>
    <row r="104" customFormat="false" ht="15" hidden="false" customHeight="false" outlineLevel="0" collapsed="false">
      <c r="A104" s="2" t="s">
        <v>84</v>
      </c>
      <c r="B104" s="2" t="s">
        <v>90</v>
      </c>
      <c r="C104" s="2" t="s">
        <v>95</v>
      </c>
      <c r="D104" s="2" t="n">
        <v>42</v>
      </c>
      <c r="E104" s="2" t="s">
        <v>104</v>
      </c>
      <c r="F104" s="2" t="n">
        <v>9</v>
      </c>
      <c r="G104" s="2" t="s">
        <v>641</v>
      </c>
      <c r="H104" s="2" t="s">
        <v>642</v>
      </c>
      <c r="I104" s="2" t="s">
        <v>123</v>
      </c>
      <c r="J104" s="2" t="s">
        <v>633</v>
      </c>
      <c r="K104" s="2" t="s">
        <v>362</v>
      </c>
      <c r="L104" s="2" t="s">
        <v>172</v>
      </c>
      <c r="M104" s="23" t="b">
        <f aca="false">TRUE()</f>
        <v>1</v>
      </c>
      <c r="N104" s="2" t="s">
        <v>152</v>
      </c>
      <c r="O104" s="2" t="s">
        <v>158</v>
      </c>
      <c r="P104" s="2" t="s">
        <v>236</v>
      </c>
      <c r="Q104" s="2" t="s">
        <v>352</v>
      </c>
      <c r="R104" s="2" t="s">
        <v>353</v>
      </c>
      <c r="S104" s="2" t="s">
        <v>175</v>
      </c>
      <c r="T104" s="2" t="s">
        <v>482</v>
      </c>
      <c r="U104" s="2" t="n">
        <v>23</v>
      </c>
      <c r="V104" s="2" t="n">
        <v>31</v>
      </c>
      <c r="W104" s="2" t="n">
        <v>-8</v>
      </c>
      <c r="X104" s="2" t="n">
        <v>3</v>
      </c>
      <c r="Y104" s="2" t="n">
        <v>6</v>
      </c>
      <c r="Z104" s="2" t="n">
        <v>-2</v>
      </c>
      <c r="AA104" s="2" t="n">
        <v>6</v>
      </c>
      <c r="AB104" s="2" t="n">
        <v>70.69</v>
      </c>
      <c r="AC104" s="2" t="n">
        <v>76.32</v>
      </c>
      <c r="AD104" s="2" t="n">
        <v>0.4279</v>
      </c>
    </row>
    <row r="105" customFormat="false" ht="15" hidden="false" customHeight="false" outlineLevel="0" collapsed="false">
      <c r="A105" s="2" t="s">
        <v>84</v>
      </c>
      <c r="B105" s="2" t="s">
        <v>90</v>
      </c>
      <c r="C105" s="2" t="s">
        <v>95</v>
      </c>
      <c r="D105" s="2" t="n">
        <v>42</v>
      </c>
      <c r="E105" s="2" t="s">
        <v>104</v>
      </c>
      <c r="F105" s="2" t="n">
        <v>9</v>
      </c>
      <c r="G105" s="2" t="s">
        <v>641</v>
      </c>
      <c r="H105" s="2" t="s">
        <v>643</v>
      </c>
      <c r="I105" s="2" t="s">
        <v>123</v>
      </c>
      <c r="J105" s="2" t="s">
        <v>633</v>
      </c>
      <c r="K105" s="2" t="s">
        <v>352</v>
      </c>
      <c r="L105" s="2" t="s">
        <v>353</v>
      </c>
      <c r="M105" s="23" t="b">
        <f aca="false">FALSE()</f>
        <v>0</v>
      </c>
      <c r="N105" s="2"/>
      <c r="O105" s="2" t="s">
        <v>158</v>
      </c>
      <c r="P105" s="2" t="s">
        <v>236</v>
      </c>
      <c r="Q105" s="2" t="s">
        <v>362</v>
      </c>
      <c r="R105" s="2" t="s">
        <v>172</v>
      </c>
      <c r="S105" s="2" t="s">
        <v>481</v>
      </c>
      <c r="T105" s="2" t="s">
        <v>178</v>
      </c>
      <c r="U105" s="2" t="n">
        <v>31</v>
      </c>
      <c r="V105" s="2" t="n">
        <v>23</v>
      </c>
      <c r="W105" s="2" t="n">
        <v>8</v>
      </c>
      <c r="X105" s="2" t="n">
        <v>6</v>
      </c>
      <c r="Y105" s="2" t="n">
        <v>3</v>
      </c>
      <c r="Z105" s="2" t="n">
        <v>2</v>
      </c>
      <c r="AA105" s="2" t="n">
        <v>12</v>
      </c>
      <c r="AB105" s="2" t="n">
        <v>76.32</v>
      </c>
      <c r="AC105" s="2" t="n">
        <v>70.69</v>
      </c>
      <c r="AD105" s="2" t="n">
        <v>0.5721</v>
      </c>
    </row>
    <row r="106" customFormat="false" ht="15" hidden="false" customHeight="false" outlineLevel="0" collapsed="false">
      <c r="A106" s="2" t="s">
        <v>84</v>
      </c>
      <c r="B106" s="2" t="s">
        <v>90</v>
      </c>
      <c r="C106" s="2" t="s">
        <v>95</v>
      </c>
      <c r="D106" s="2" t="n">
        <v>42</v>
      </c>
      <c r="E106" s="2" t="s">
        <v>104</v>
      </c>
      <c r="F106" s="2" t="n">
        <v>9</v>
      </c>
      <c r="G106" s="2" t="s">
        <v>644</v>
      </c>
      <c r="H106" s="2" t="s">
        <v>645</v>
      </c>
      <c r="I106" s="2" t="s">
        <v>123</v>
      </c>
      <c r="J106" s="2" t="s">
        <v>633</v>
      </c>
      <c r="K106" s="2" t="s">
        <v>354</v>
      </c>
      <c r="L106" s="2" t="s">
        <v>355</v>
      </c>
      <c r="M106" s="23" t="b">
        <f aca="false">FALSE()</f>
        <v>0</v>
      </c>
      <c r="N106" s="2"/>
      <c r="O106" s="2" t="s">
        <v>158</v>
      </c>
      <c r="P106" s="2" t="s">
        <v>236</v>
      </c>
      <c r="Q106" s="2" t="s">
        <v>360</v>
      </c>
      <c r="R106" s="2" t="s">
        <v>361</v>
      </c>
      <c r="S106" s="2" t="s">
        <v>175</v>
      </c>
      <c r="T106" s="2" t="s">
        <v>178</v>
      </c>
      <c r="U106" s="2" t="n">
        <v>19</v>
      </c>
      <c r="V106" s="2" t="n">
        <v>16</v>
      </c>
      <c r="W106" s="2" t="n">
        <v>3</v>
      </c>
      <c r="X106" s="2" t="n">
        <v>5</v>
      </c>
      <c r="Y106" s="2" t="n">
        <v>4</v>
      </c>
      <c r="Z106" s="2" t="n">
        <v>2</v>
      </c>
      <c r="AA106" s="2" t="n">
        <v>10</v>
      </c>
      <c r="AB106" s="2" t="n">
        <v>71.54</v>
      </c>
      <c r="AC106" s="2" t="n">
        <v>58.14</v>
      </c>
      <c r="AD106" s="2" t="n">
        <v>0.7741</v>
      </c>
    </row>
    <row r="107" customFormat="false" ht="15" hidden="false" customHeight="false" outlineLevel="0" collapsed="false">
      <c r="A107" s="2" t="s">
        <v>84</v>
      </c>
      <c r="B107" s="2" t="s">
        <v>90</v>
      </c>
      <c r="C107" s="2" t="s">
        <v>95</v>
      </c>
      <c r="D107" s="2" t="n">
        <v>42</v>
      </c>
      <c r="E107" s="2" t="s">
        <v>104</v>
      </c>
      <c r="F107" s="2" t="n">
        <v>9</v>
      </c>
      <c r="G107" s="2" t="s">
        <v>644</v>
      </c>
      <c r="H107" s="2" t="s">
        <v>646</v>
      </c>
      <c r="I107" s="2" t="s">
        <v>123</v>
      </c>
      <c r="J107" s="2" t="s">
        <v>633</v>
      </c>
      <c r="K107" s="2" t="s">
        <v>360</v>
      </c>
      <c r="L107" s="2" t="s">
        <v>361</v>
      </c>
      <c r="M107" s="23" t="b">
        <f aca="false">FALSE()</f>
        <v>0</v>
      </c>
      <c r="N107" s="2"/>
      <c r="O107" s="2" t="s">
        <v>158</v>
      </c>
      <c r="P107" s="2" t="s">
        <v>236</v>
      </c>
      <c r="Q107" s="2" t="s">
        <v>354</v>
      </c>
      <c r="R107" s="2" t="s">
        <v>355</v>
      </c>
      <c r="S107" s="2" t="s">
        <v>481</v>
      </c>
      <c r="T107" s="2" t="s">
        <v>482</v>
      </c>
      <c r="U107" s="2" t="n">
        <v>16</v>
      </c>
      <c r="V107" s="2" t="n">
        <v>19</v>
      </c>
      <c r="W107" s="2" t="n">
        <v>-3</v>
      </c>
      <c r="X107" s="2" t="n">
        <v>3</v>
      </c>
      <c r="Y107" s="2" t="n">
        <v>6</v>
      </c>
      <c r="Z107" s="2" t="n">
        <v>-3</v>
      </c>
      <c r="AA107" s="2" t="n">
        <v>6</v>
      </c>
      <c r="AB107" s="2" t="n">
        <v>58.14</v>
      </c>
      <c r="AC107" s="2" t="n">
        <v>71.54</v>
      </c>
      <c r="AD107" s="2" t="n">
        <v>0.2259</v>
      </c>
    </row>
    <row r="108" customFormat="false" ht="15" hidden="false" customHeight="false" outlineLevel="0" collapsed="false">
      <c r="A108" s="2" t="s">
        <v>84</v>
      </c>
      <c r="B108" s="2" t="s">
        <v>90</v>
      </c>
      <c r="C108" s="2" t="s">
        <v>95</v>
      </c>
      <c r="D108" s="2" t="n">
        <v>42</v>
      </c>
      <c r="E108" s="2" t="s">
        <v>104</v>
      </c>
      <c r="F108" s="2" t="n">
        <v>9</v>
      </c>
      <c r="G108" s="2" t="s">
        <v>647</v>
      </c>
      <c r="H108" s="2" t="s">
        <v>648</v>
      </c>
      <c r="I108" s="2" t="s">
        <v>123</v>
      </c>
      <c r="J108" s="2" t="s">
        <v>633</v>
      </c>
      <c r="K108" s="2" t="s">
        <v>358</v>
      </c>
      <c r="L108" s="2" t="s">
        <v>359</v>
      </c>
      <c r="M108" s="23" t="b">
        <f aca="false">FALSE()</f>
        <v>0</v>
      </c>
      <c r="N108" s="2"/>
      <c r="O108" s="2" t="s">
        <v>158</v>
      </c>
      <c r="P108" s="2" t="s">
        <v>236</v>
      </c>
      <c r="Q108" s="2" t="s">
        <v>356</v>
      </c>
      <c r="R108" s="2" t="s">
        <v>357</v>
      </c>
      <c r="S108" s="2" t="s">
        <v>175</v>
      </c>
      <c r="T108" s="2" t="s">
        <v>178</v>
      </c>
      <c r="U108" s="2" t="n">
        <v>37</v>
      </c>
      <c r="V108" s="2" t="n">
        <v>28</v>
      </c>
      <c r="W108" s="2" t="n">
        <v>9</v>
      </c>
      <c r="X108" s="2" t="n">
        <v>6</v>
      </c>
      <c r="Y108" s="2" t="n">
        <v>3</v>
      </c>
      <c r="Z108" s="2" t="n">
        <v>2</v>
      </c>
      <c r="AA108" s="2" t="n">
        <v>12</v>
      </c>
      <c r="AB108" s="2" t="n">
        <v>65.53</v>
      </c>
      <c r="AC108" s="2" t="n">
        <v>68.39</v>
      </c>
      <c r="AD108" s="2" t="n">
        <v>0.4827</v>
      </c>
    </row>
    <row r="109" customFormat="false" ht="15" hidden="false" customHeight="false" outlineLevel="0" collapsed="false">
      <c r="A109" s="2" t="s">
        <v>84</v>
      </c>
      <c r="B109" s="2" t="s">
        <v>90</v>
      </c>
      <c r="C109" s="2" t="s">
        <v>95</v>
      </c>
      <c r="D109" s="2" t="n">
        <v>42</v>
      </c>
      <c r="E109" s="2" t="s">
        <v>104</v>
      </c>
      <c r="F109" s="2" t="n">
        <v>9</v>
      </c>
      <c r="G109" s="2" t="s">
        <v>647</v>
      </c>
      <c r="H109" s="2" t="s">
        <v>649</v>
      </c>
      <c r="I109" s="2" t="s">
        <v>123</v>
      </c>
      <c r="J109" s="2" t="s">
        <v>633</v>
      </c>
      <c r="K109" s="2" t="s">
        <v>356</v>
      </c>
      <c r="L109" s="2" t="s">
        <v>357</v>
      </c>
      <c r="M109" s="23" t="b">
        <f aca="false">FALSE()</f>
        <v>0</v>
      </c>
      <c r="N109" s="2"/>
      <c r="O109" s="2" t="s">
        <v>158</v>
      </c>
      <c r="P109" s="2" t="s">
        <v>236</v>
      </c>
      <c r="Q109" s="2" t="s">
        <v>358</v>
      </c>
      <c r="R109" s="2" t="s">
        <v>359</v>
      </c>
      <c r="S109" s="2" t="s">
        <v>481</v>
      </c>
      <c r="T109" s="2" t="s">
        <v>482</v>
      </c>
      <c r="U109" s="2" t="n">
        <v>28</v>
      </c>
      <c r="V109" s="2" t="n">
        <v>37</v>
      </c>
      <c r="W109" s="2" t="n">
        <v>-9</v>
      </c>
      <c r="X109" s="2" t="n">
        <v>5</v>
      </c>
      <c r="Y109" s="2" t="n">
        <v>4</v>
      </c>
      <c r="Z109" s="2" t="n">
        <v>-1</v>
      </c>
      <c r="AA109" s="2" t="n">
        <v>10</v>
      </c>
      <c r="AB109" s="2" t="n">
        <v>68.39</v>
      </c>
      <c r="AC109" s="2" t="n">
        <v>65.53</v>
      </c>
      <c r="AD109" s="2" t="n">
        <v>0.5173</v>
      </c>
    </row>
    <row r="110" customFormat="false" ht="15" hidden="false" customHeight="false" outlineLevel="0" collapsed="false">
      <c r="A110" s="2" t="s">
        <v>84</v>
      </c>
      <c r="B110" s="2" t="s">
        <v>90</v>
      </c>
      <c r="C110" s="2" t="s">
        <v>95</v>
      </c>
      <c r="D110" s="2" t="n">
        <v>42</v>
      </c>
      <c r="E110" s="2" t="s">
        <v>104</v>
      </c>
      <c r="F110" s="2" t="n">
        <v>10</v>
      </c>
      <c r="G110" s="2" t="s">
        <v>650</v>
      </c>
      <c r="H110" s="2" t="s">
        <v>651</v>
      </c>
      <c r="I110" s="2" t="s">
        <v>123</v>
      </c>
      <c r="J110" s="2" t="s">
        <v>652</v>
      </c>
      <c r="K110" s="2" t="s">
        <v>344</v>
      </c>
      <c r="L110" s="2" t="s">
        <v>345</v>
      </c>
      <c r="M110" s="23" t="b">
        <f aca="false">FALSE()</f>
        <v>0</v>
      </c>
      <c r="N110" s="2"/>
      <c r="O110" s="2" t="s">
        <v>158</v>
      </c>
      <c r="P110" s="2" t="s">
        <v>164</v>
      </c>
      <c r="Q110" s="2" t="s">
        <v>341</v>
      </c>
      <c r="R110" s="2" t="s">
        <v>140</v>
      </c>
      <c r="S110" s="2" t="s">
        <v>175</v>
      </c>
      <c r="T110" s="2" t="s">
        <v>482</v>
      </c>
      <c r="U110" s="2" t="n">
        <v>30</v>
      </c>
      <c r="V110" s="2" t="n">
        <v>31</v>
      </c>
      <c r="W110" s="2" t="n">
        <v>-1</v>
      </c>
      <c r="X110" s="2" t="n">
        <v>2</v>
      </c>
      <c r="Y110" s="2" t="n">
        <v>8</v>
      </c>
      <c r="Z110" s="2" t="n">
        <v>-6</v>
      </c>
      <c r="AA110" s="2" t="n">
        <v>4</v>
      </c>
      <c r="AB110" s="2" t="n">
        <v>63.04</v>
      </c>
      <c r="AC110" s="2" t="n">
        <v>83.18</v>
      </c>
      <c r="AD110" s="2" t="n">
        <v>0.1898</v>
      </c>
    </row>
    <row r="111" customFormat="false" ht="15" hidden="false" customHeight="false" outlineLevel="0" collapsed="false">
      <c r="A111" s="2" t="s">
        <v>84</v>
      </c>
      <c r="B111" s="2" t="s">
        <v>90</v>
      </c>
      <c r="C111" s="2" t="s">
        <v>95</v>
      </c>
      <c r="D111" s="2" t="n">
        <v>42</v>
      </c>
      <c r="E111" s="2" t="s">
        <v>104</v>
      </c>
      <c r="F111" s="2" t="n">
        <v>10</v>
      </c>
      <c r="G111" s="2" t="s">
        <v>650</v>
      </c>
      <c r="H111" s="2" t="s">
        <v>653</v>
      </c>
      <c r="I111" s="2" t="s">
        <v>123</v>
      </c>
      <c r="J111" s="2" t="s">
        <v>652</v>
      </c>
      <c r="K111" s="2" t="s">
        <v>341</v>
      </c>
      <c r="L111" s="2" t="s">
        <v>140</v>
      </c>
      <c r="M111" s="23" t="b">
        <f aca="false">FALSE()</f>
        <v>0</v>
      </c>
      <c r="N111" s="2"/>
      <c r="O111" s="2" t="s">
        <v>158</v>
      </c>
      <c r="P111" s="2" t="s">
        <v>164</v>
      </c>
      <c r="Q111" s="2" t="s">
        <v>344</v>
      </c>
      <c r="R111" s="2" t="s">
        <v>345</v>
      </c>
      <c r="S111" s="2" t="s">
        <v>481</v>
      </c>
      <c r="T111" s="2" t="s">
        <v>178</v>
      </c>
      <c r="U111" s="2" t="n">
        <v>31</v>
      </c>
      <c r="V111" s="2" t="n">
        <v>30</v>
      </c>
      <c r="W111" s="2" t="n">
        <v>1</v>
      </c>
      <c r="X111" s="2" t="n">
        <v>6</v>
      </c>
      <c r="Y111" s="2" t="n">
        <v>4</v>
      </c>
      <c r="Z111" s="2" t="n">
        <v>2</v>
      </c>
      <c r="AA111" s="2" t="n">
        <v>12</v>
      </c>
      <c r="AB111" s="2" t="n">
        <v>83.18</v>
      </c>
      <c r="AC111" s="2" t="n">
        <v>63.04</v>
      </c>
      <c r="AD111" s="2" t="n">
        <v>0.8102</v>
      </c>
    </row>
    <row r="112" customFormat="false" ht="15" hidden="false" customHeight="false" outlineLevel="0" collapsed="false">
      <c r="A112" s="2" t="s">
        <v>84</v>
      </c>
      <c r="B112" s="2" t="s">
        <v>90</v>
      </c>
      <c r="C112" s="2" t="s">
        <v>95</v>
      </c>
      <c r="D112" s="2" t="n">
        <v>42</v>
      </c>
      <c r="E112" s="2" t="s">
        <v>104</v>
      </c>
      <c r="F112" s="2" t="n">
        <v>10</v>
      </c>
      <c r="G112" s="2" t="s">
        <v>654</v>
      </c>
      <c r="H112" s="2" t="s">
        <v>655</v>
      </c>
      <c r="I112" s="2" t="s">
        <v>123</v>
      </c>
      <c r="J112" s="2" t="s">
        <v>652</v>
      </c>
      <c r="K112" s="2" t="s">
        <v>346</v>
      </c>
      <c r="L112" s="2" t="s">
        <v>347</v>
      </c>
      <c r="M112" s="23" t="b">
        <f aca="false">FALSE()</f>
        <v>0</v>
      </c>
      <c r="N112" s="2"/>
      <c r="O112" s="2" t="s">
        <v>158</v>
      </c>
      <c r="P112" s="2" t="s">
        <v>164</v>
      </c>
      <c r="Q112" s="2" t="s">
        <v>342</v>
      </c>
      <c r="R112" s="2" t="s">
        <v>343</v>
      </c>
      <c r="S112" s="2" t="s">
        <v>175</v>
      </c>
      <c r="T112" s="2" t="s">
        <v>178</v>
      </c>
      <c r="U112" s="2" t="n">
        <v>38</v>
      </c>
      <c r="V112" s="2" t="n">
        <v>21</v>
      </c>
      <c r="W112" s="2" t="n">
        <v>17</v>
      </c>
      <c r="X112" s="2" t="n">
        <v>5</v>
      </c>
      <c r="Y112" s="2" t="n">
        <v>5</v>
      </c>
      <c r="Z112" s="2" t="n">
        <v>1</v>
      </c>
      <c r="AA112" s="2" t="n">
        <v>10</v>
      </c>
      <c r="AB112" s="2" t="n">
        <v>76.13</v>
      </c>
      <c r="AC112" s="2" t="n">
        <v>69.16</v>
      </c>
      <c r="AD112" s="2" t="n">
        <v>0.6722</v>
      </c>
    </row>
    <row r="113" customFormat="false" ht="15" hidden="false" customHeight="false" outlineLevel="0" collapsed="false">
      <c r="A113" s="2" t="s">
        <v>84</v>
      </c>
      <c r="B113" s="2" t="s">
        <v>90</v>
      </c>
      <c r="C113" s="2" t="s">
        <v>95</v>
      </c>
      <c r="D113" s="2" t="n">
        <v>42</v>
      </c>
      <c r="E113" s="2" t="s">
        <v>104</v>
      </c>
      <c r="F113" s="2" t="n">
        <v>10</v>
      </c>
      <c r="G113" s="2" t="s">
        <v>654</v>
      </c>
      <c r="H113" s="2" t="s">
        <v>656</v>
      </c>
      <c r="I113" s="2" t="s">
        <v>123</v>
      </c>
      <c r="J113" s="2" t="s">
        <v>652</v>
      </c>
      <c r="K113" s="2" t="s">
        <v>342</v>
      </c>
      <c r="L113" s="2" t="s">
        <v>343</v>
      </c>
      <c r="M113" s="23" t="b">
        <f aca="false">FALSE()</f>
        <v>0</v>
      </c>
      <c r="N113" s="2"/>
      <c r="O113" s="2" t="s">
        <v>158</v>
      </c>
      <c r="P113" s="2" t="s">
        <v>164</v>
      </c>
      <c r="Q113" s="2" t="s">
        <v>346</v>
      </c>
      <c r="R113" s="2" t="s">
        <v>347</v>
      </c>
      <c r="S113" s="2" t="s">
        <v>481</v>
      </c>
      <c r="T113" s="2" t="s">
        <v>482</v>
      </c>
      <c r="U113" s="2" t="n">
        <v>21</v>
      </c>
      <c r="V113" s="2" t="n">
        <v>38</v>
      </c>
      <c r="W113" s="2" t="n">
        <v>-17</v>
      </c>
      <c r="X113" s="2" t="n">
        <v>5</v>
      </c>
      <c r="Y113" s="2" t="n">
        <v>5</v>
      </c>
      <c r="Z113" s="2" t="n">
        <v>-1</v>
      </c>
      <c r="AA113" s="2" t="n">
        <v>10</v>
      </c>
      <c r="AB113" s="2" t="n">
        <v>69.16</v>
      </c>
      <c r="AC113" s="2" t="n">
        <v>76.13</v>
      </c>
      <c r="AD113" s="2" t="n">
        <v>0.3278</v>
      </c>
    </row>
    <row r="114" customFormat="false" ht="15" hidden="false" customHeight="false" outlineLevel="0" collapsed="false">
      <c r="A114" s="2" t="s">
        <v>84</v>
      </c>
      <c r="B114" s="2" t="s">
        <v>90</v>
      </c>
      <c r="C114" s="2" t="s">
        <v>95</v>
      </c>
      <c r="D114" s="2" t="n">
        <v>42</v>
      </c>
      <c r="E114" s="2" t="s">
        <v>104</v>
      </c>
      <c r="F114" s="2" t="n">
        <v>10</v>
      </c>
      <c r="G114" s="2" t="s">
        <v>657</v>
      </c>
      <c r="H114" s="2" t="s">
        <v>658</v>
      </c>
      <c r="I114" s="2" t="s">
        <v>123</v>
      </c>
      <c r="J114" s="2" t="s">
        <v>652</v>
      </c>
      <c r="K114" s="2" t="s">
        <v>362</v>
      </c>
      <c r="L114" s="2" t="s">
        <v>172</v>
      </c>
      <c r="M114" s="23" t="b">
        <f aca="false">TRUE()</f>
        <v>1</v>
      </c>
      <c r="N114" s="2" t="s">
        <v>152</v>
      </c>
      <c r="O114" s="2" t="s">
        <v>158</v>
      </c>
      <c r="P114" s="2" t="s">
        <v>236</v>
      </c>
      <c r="Q114" s="2" t="s">
        <v>348</v>
      </c>
      <c r="R114" s="2" t="s">
        <v>349</v>
      </c>
      <c r="S114" s="2" t="s">
        <v>175</v>
      </c>
      <c r="T114" s="2" t="s">
        <v>178</v>
      </c>
      <c r="U114" s="2" t="n">
        <v>47</v>
      </c>
      <c r="V114" s="2" t="n">
        <v>29</v>
      </c>
      <c r="W114" s="2" t="n">
        <v>18</v>
      </c>
      <c r="X114" s="2" t="n">
        <v>4</v>
      </c>
      <c r="Y114" s="2" t="n">
        <v>6</v>
      </c>
      <c r="Z114" s="2" t="n">
        <v>1</v>
      </c>
      <c r="AA114" s="2" t="n">
        <v>8</v>
      </c>
      <c r="AB114" s="2" t="n">
        <v>70.69</v>
      </c>
      <c r="AC114" s="2" t="n">
        <v>73.44</v>
      </c>
      <c r="AD114" s="2" t="n">
        <v>0.485</v>
      </c>
    </row>
    <row r="115" customFormat="false" ht="15" hidden="false" customHeight="false" outlineLevel="0" collapsed="false">
      <c r="A115" s="2" t="s">
        <v>84</v>
      </c>
      <c r="B115" s="2" t="s">
        <v>90</v>
      </c>
      <c r="C115" s="2" t="s">
        <v>95</v>
      </c>
      <c r="D115" s="2" t="n">
        <v>42</v>
      </c>
      <c r="E115" s="2" t="s">
        <v>104</v>
      </c>
      <c r="F115" s="2" t="n">
        <v>10</v>
      </c>
      <c r="G115" s="2" t="s">
        <v>657</v>
      </c>
      <c r="H115" s="2" t="s">
        <v>659</v>
      </c>
      <c r="I115" s="2" t="s">
        <v>123</v>
      </c>
      <c r="J115" s="2" t="s">
        <v>652</v>
      </c>
      <c r="K115" s="2" t="s">
        <v>348</v>
      </c>
      <c r="L115" s="2" t="s">
        <v>349</v>
      </c>
      <c r="M115" s="23" t="b">
        <f aca="false">FALSE()</f>
        <v>0</v>
      </c>
      <c r="N115" s="2"/>
      <c r="O115" s="2" t="s">
        <v>158</v>
      </c>
      <c r="P115" s="2" t="s">
        <v>164</v>
      </c>
      <c r="Q115" s="2" t="s">
        <v>362</v>
      </c>
      <c r="R115" s="2" t="s">
        <v>172</v>
      </c>
      <c r="S115" s="2" t="s">
        <v>481</v>
      </c>
      <c r="T115" s="2" t="s">
        <v>482</v>
      </c>
      <c r="U115" s="2" t="n">
        <v>29</v>
      </c>
      <c r="V115" s="2" t="n">
        <v>47</v>
      </c>
      <c r="W115" s="2" t="n">
        <v>-18</v>
      </c>
      <c r="X115" s="2" t="n">
        <v>7</v>
      </c>
      <c r="Y115" s="2" t="n">
        <v>3</v>
      </c>
      <c r="Z115" s="2" t="n">
        <v>-1</v>
      </c>
      <c r="AA115" s="2" t="n">
        <v>14</v>
      </c>
      <c r="AB115" s="2" t="n">
        <v>73.44</v>
      </c>
      <c r="AC115" s="2" t="n">
        <v>70.69</v>
      </c>
      <c r="AD115" s="2" t="n">
        <v>0.515</v>
      </c>
    </row>
    <row r="116" customFormat="false" ht="15" hidden="false" customHeight="false" outlineLevel="0" collapsed="false">
      <c r="A116" s="2" t="s">
        <v>84</v>
      </c>
      <c r="B116" s="2" t="s">
        <v>90</v>
      </c>
      <c r="C116" s="2" t="s">
        <v>95</v>
      </c>
      <c r="D116" s="2" t="n">
        <v>42</v>
      </c>
      <c r="E116" s="2" t="s">
        <v>104</v>
      </c>
      <c r="F116" s="2" t="n">
        <v>10</v>
      </c>
      <c r="G116" s="2" t="s">
        <v>660</v>
      </c>
      <c r="H116" s="2" t="s">
        <v>661</v>
      </c>
      <c r="I116" s="2" t="s">
        <v>123</v>
      </c>
      <c r="J116" s="2" t="s">
        <v>652</v>
      </c>
      <c r="K116" s="2" t="s">
        <v>350</v>
      </c>
      <c r="L116" s="2" t="s">
        <v>351</v>
      </c>
      <c r="M116" s="23" t="b">
        <f aca="false">FALSE()</f>
        <v>0</v>
      </c>
      <c r="N116" s="2"/>
      <c r="O116" s="2" t="s">
        <v>158</v>
      </c>
      <c r="P116" s="2" t="s">
        <v>164</v>
      </c>
      <c r="Q116" s="2" t="s">
        <v>360</v>
      </c>
      <c r="R116" s="2" t="s">
        <v>361</v>
      </c>
      <c r="S116" s="2" t="s">
        <v>175</v>
      </c>
      <c r="T116" s="2" t="s">
        <v>178</v>
      </c>
      <c r="U116" s="2" t="n">
        <v>17</v>
      </c>
      <c r="V116" s="2" t="n">
        <v>10</v>
      </c>
      <c r="W116" s="2" t="n">
        <v>7</v>
      </c>
      <c r="X116" s="2" t="n">
        <v>4</v>
      </c>
      <c r="Y116" s="2" t="n">
        <v>6</v>
      </c>
      <c r="Z116" s="2" t="n">
        <v>1</v>
      </c>
      <c r="AA116" s="2" t="n">
        <v>8</v>
      </c>
      <c r="AB116" s="2" t="n">
        <v>66.15</v>
      </c>
      <c r="AC116" s="2" t="n">
        <v>58.14</v>
      </c>
      <c r="AD116" s="2" t="n">
        <v>0.6901</v>
      </c>
    </row>
    <row r="117" customFormat="false" ht="15" hidden="false" customHeight="false" outlineLevel="0" collapsed="false">
      <c r="A117" s="2" t="s">
        <v>84</v>
      </c>
      <c r="B117" s="2" t="s">
        <v>90</v>
      </c>
      <c r="C117" s="2" t="s">
        <v>95</v>
      </c>
      <c r="D117" s="2" t="n">
        <v>42</v>
      </c>
      <c r="E117" s="2" t="s">
        <v>104</v>
      </c>
      <c r="F117" s="2" t="n">
        <v>10</v>
      </c>
      <c r="G117" s="2" t="s">
        <v>660</v>
      </c>
      <c r="H117" s="2" t="s">
        <v>662</v>
      </c>
      <c r="I117" s="2" t="s">
        <v>123</v>
      </c>
      <c r="J117" s="2" t="s">
        <v>652</v>
      </c>
      <c r="K117" s="2" t="s">
        <v>360</v>
      </c>
      <c r="L117" s="2" t="s">
        <v>361</v>
      </c>
      <c r="M117" s="23" t="b">
        <f aca="false">FALSE()</f>
        <v>0</v>
      </c>
      <c r="N117" s="2"/>
      <c r="O117" s="2" t="s">
        <v>158</v>
      </c>
      <c r="P117" s="2" t="s">
        <v>236</v>
      </c>
      <c r="Q117" s="2" t="s">
        <v>350</v>
      </c>
      <c r="R117" s="2" t="s">
        <v>351</v>
      </c>
      <c r="S117" s="2" t="s">
        <v>481</v>
      </c>
      <c r="T117" s="2" t="s">
        <v>482</v>
      </c>
      <c r="U117" s="2" t="n">
        <v>10</v>
      </c>
      <c r="V117" s="2" t="n">
        <v>17</v>
      </c>
      <c r="W117" s="2" t="n">
        <v>-7</v>
      </c>
      <c r="X117" s="2" t="n">
        <v>3</v>
      </c>
      <c r="Y117" s="2" t="n">
        <v>7</v>
      </c>
      <c r="Z117" s="2" t="n">
        <v>-4</v>
      </c>
      <c r="AA117" s="2" t="n">
        <v>6</v>
      </c>
      <c r="AB117" s="2" t="n">
        <v>58.14</v>
      </c>
      <c r="AC117" s="2" t="n">
        <v>66.15</v>
      </c>
      <c r="AD117" s="2" t="n">
        <v>0.3099</v>
      </c>
    </row>
    <row r="118" customFormat="false" ht="15" hidden="false" customHeight="false" outlineLevel="0" collapsed="false">
      <c r="A118" s="2" t="s">
        <v>84</v>
      </c>
      <c r="B118" s="2" t="s">
        <v>90</v>
      </c>
      <c r="C118" s="2" t="s">
        <v>95</v>
      </c>
      <c r="D118" s="2" t="n">
        <v>42</v>
      </c>
      <c r="E118" s="2" t="s">
        <v>104</v>
      </c>
      <c r="F118" s="2" t="n">
        <v>10</v>
      </c>
      <c r="G118" s="2" t="s">
        <v>663</v>
      </c>
      <c r="H118" s="2" t="s">
        <v>664</v>
      </c>
      <c r="I118" s="2" t="s">
        <v>123</v>
      </c>
      <c r="J118" s="2" t="s">
        <v>652</v>
      </c>
      <c r="K118" s="2" t="s">
        <v>358</v>
      </c>
      <c r="L118" s="2" t="s">
        <v>359</v>
      </c>
      <c r="M118" s="23" t="b">
        <f aca="false">FALSE()</f>
        <v>0</v>
      </c>
      <c r="N118" s="2"/>
      <c r="O118" s="2" t="s">
        <v>158</v>
      </c>
      <c r="P118" s="2" t="s">
        <v>236</v>
      </c>
      <c r="Q118" s="2" t="s">
        <v>352</v>
      </c>
      <c r="R118" s="2" t="s">
        <v>353</v>
      </c>
      <c r="S118" s="2" t="s">
        <v>175</v>
      </c>
      <c r="T118" s="2" t="s">
        <v>482</v>
      </c>
      <c r="U118" s="2" t="n">
        <v>21</v>
      </c>
      <c r="V118" s="2" t="n">
        <v>30</v>
      </c>
      <c r="W118" s="2" t="n">
        <v>-9</v>
      </c>
      <c r="X118" s="2" t="n">
        <v>6</v>
      </c>
      <c r="Y118" s="2" t="n">
        <v>4</v>
      </c>
      <c r="Z118" s="2" t="n">
        <v>-1</v>
      </c>
      <c r="AA118" s="2" t="n">
        <v>12</v>
      </c>
      <c r="AB118" s="2" t="n">
        <v>65.53</v>
      </c>
      <c r="AC118" s="2" t="n">
        <v>76.32</v>
      </c>
      <c r="AD118" s="2" t="n">
        <v>0.331</v>
      </c>
    </row>
    <row r="119" customFormat="false" ht="15" hidden="false" customHeight="false" outlineLevel="0" collapsed="false">
      <c r="A119" s="2" t="s">
        <v>84</v>
      </c>
      <c r="B119" s="2" t="s">
        <v>90</v>
      </c>
      <c r="C119" s="2" t="s">
        <v>95</v>
      </c>
      <c r="D119" s="2" t="n">
        <v>42</v>
      </c>
      <c r="E119" s="2" t="s">
        <v>104</v>
      </c>
      <c r="F119" s="2" t="n">
        <v>10</v>
      </c>
      <c r="G119" s="2" t="s">
        <v>663</v>
      </c>
      <c r="H119" s="2" t="s">
        <v>665</v>
      </c>
      <c r="I119" s="2" t="s">
        <v>123</v>
      </c>
      <c r="J119" s="2" t="s">
        <v>652</v>
      </c>
      <c r="K119" s="2" t="s">
        <v>352</v>
      </c>
      <c r="L119" s="2" t="s">
        <v>353</v>
      </c>
      <c r="M119" s="23" t="b">
        <f aca="false">FALSE()</f>
        <v>0</v>
      </c>
      <c r="N119" s="2"/>
      <c r="O119" s="2" t="s">
        <v>158</v>
      </c>
      <c r="P119" s="2" t="s">
        <v>236</v>
      </c>
      <c r="Q119" s="2" t="s">
        <v>358</v>
      </c>
      <c r="R119" s="2" t="s">
        <v>359</v>
      </c>
      <c r="S119" s="2" t="s">
        <v>481</v>
      </c>
      <c r="T119" s="2" t="s">
        <v>178</v>
      </c>
      <c r="U119" s="2" t="n">
        <v>30</v>
      </c>
      <c r="V119" s="2" t="n">
        <v>21</v>
      </c>
      <c r="W119" s="2" t="n">
        <v>9</v>
      </c>
      <c r="X119" s="2" t="n">
        <v>7</v>
      </c>
      <c r="Y119" s="2" t="n">
        <v>3</v>
      </c>
      <c r="Z119" s="2" t="n">
        <v>3</v>
      </c>
      <c r="AA119" s="2" t="n">
        <v>14</v>
      </c>
      <c r="AB119" s="2" t="n">
        <v>76.32</v>
      </c>
      <c r="AC119" s="2" t="n">
        <v>65.53</v>
      </c>
      <c r="AD119" s="2" t="n">
        <v>0.669</v>
      </c>
    </row>
    <row r="120" customFormat="false" ht="15" hidden="false" customHeight="false" outlineLevel="0" collapsed="false">
      <c r="A120" s="2" t="s">
        <v>84</v>
      </c>
      <c r="B120" s="2" t="s">
        <v>90</v>
      </c>
      <c r="C120" s="2" t="s">
        <v>95</v>
      </c>
      <c r="D120" s="2" t="n">
        <v>42</v>
      </c>
      <c r="E120" s="2" t="s">
        <v>104</v>
      </c>
      <c r="F120" s="2" t="n">
        <v>10</v>
      </c>
      <c r="G120" s="2" t="s">
        <v>666</v>
      </c>
      <c r="H120" s="2" t="s">
        <v>667</v>
      </c>
      <c r="I120" s="2" t="s">
        <v>123</v>
      </c>
      <c r="J120" s="2" t="s">
        <v>652</v>
      </c>
      <c r="K120" s="2" t="s">
        <v>354</v>
      </c>
      <c r="L120" s="2" t="s">
        <v>355</v>
      </c>
      <c r="M120" s="23" t="b">
        <f aca="false">FALSE()</f>
        <v>0</v>
      </c>
      <c r="N120" s="2"/>
      <c r="O120" s="2" t="s">
        <v>158</v>
      </c>
      <c r="P120" s="2" t="s">
        <v>236</v>
      </c>
      <c r="Q120" s="2" t="s">
        <v>356</v>
      </c>
      <c r="R120" s="2" t="s">
        <v>357</v>
      </c>
      <c r="S120" s="2" t="s">
        <v>175</v>
      </c>
      <c r="T120" s="2" t="s">
        <v>178</v>
      </c>
      <c r="U120" s="2" t="n">
        <v>22</v>
      </c>
      <c r="V120" s="2" t="n">
        <v>14</v>
      </c>
      <c r="W120" s="2" t="n">
        <v>8</v>
      </c>
      <c r="X120" s="2" t="n">
        <v>6</v>
      </c>
      <c r="Y120" s="2" t="n">
        <v>4</v>
      </c>
      <c r="Z120" s="2" t="n">
        <v>3</v>
      </c>
      <c r="AA120" s="2" t="n">
        <v>12</v>
      </c>
      <c r="AB120" s="2" t="n">
        <v>71.54</v>
      </c>
      <c r="AC120" s="2" t="n">
        <v>68.39</v>
      </c>
      <c r="AD120" s="2" t="n">
        <v>0.6015</v>
      </c>
    </row>
    <row r="121" customFormat="false" ht="15" hidden="false" customHeight="false" outlineLevel="0" collapsed="false">
      <c r="A121" s="2" t="s">
        <v>84</v>
      </c>
      <c r="B121" s="2" t="s">
        <v>90</v>
      </c>
      <c r="C121" s="2" t="s">
        <v>95</v>
      </c>
      <c r="D121" s="2" t="n">
        <v>42</v>
      </c>
      <c r="E121" s="2" t="s">
        <v>104</v>
      </c>
      <c r="F121" s="2" t="n">
        <v>10</v>
      </c>
      <c r="G121" s="2" t="s">
        <v>666</v>
      </c>
      <c r="H121" s="2" t="s">
        <v>668</v>
      </c>
      <c r="I121" s="2" t="s">
        <v>123</v>
      </c>
      <c r="J121" s="2" t="s">
        <v>652</v>
      </c>
      <c r="K121" s="2" t="s">
        <v>356</v>
      </c>
      <c r="L121" s="2" t="s">
        <v>357</v>
      </c>
      <c r="M121" s="23" t="b">
        <f aca="false">FALSE()</f>
        <v>0</v>
      </c>
      <c r="N121" s="2"/>
      <c r="O121" s="2" t="s">
        <v>158</v>
      </c>
      <c r="P121" s="2" t="s">
        <v>236</v>
      </c>
      <c r="Q121" s="2" t="s">
        <v>354</v>
      </c>
      <c r="R121" s="2" t="s">
        <v>355</v>
      </c>
      <c r="S121" s="2" t="s">
        <v>481</v>
      </c>
      <c r="T121" s="2" t="s">
        <v>482</v>
      </c>
      <c r="U121" s="2" t="n">
        <v>14</v>
      </c>
      <c r="V121" s="2" t="n">
        <v>22</v>
      </c>
      <c r="W121" s="2" t="n">
        <v>-8</v>
      </c>
      <c r="X121" s="2" t="n">
        <v>5</v>
      </c>
      <c r="Y121" s="2" t="n">
        <v>5</v>
      </c>
      <c r="Z121" s="2" t="n">
        <v>-2</v>
      </c>
      <c r="AA121" s="2" t="n">
        <v>10</v>
      </c>
      <c r="AB121" s="2" t="n">
        <v>68.39</v>
      </c>
      <c r="AC121" s="2" t="n">
        <v>71.54</v>
      </c>
      <c r="AD121" s="2" t="n">
        <v>0.3985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5" min="3" style="0" width="9"/>
    <col collapsed="false" customWidth="true" hidden="false" outlineLevel="0" max="7" min="6" style="0" width="7"/>
    <col collapsed="false" customWidth="true" hidden="false" outlineLevel="0" max="11" min="8" style="0" width="9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8"/>
  </cols>
  <sheetData>
    <row r="1" customFormat="false" ht="19.7" hidden="false" customHeight="false" outlineLevel="0" collapsed="false">
      <c r="A1" s="1" t="s">
        <v>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670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52.2" hidden="false" customHeight="false" outlineLevel="0" collapsed="false">
      <c r="A4" s="7" t="s">
        <v>133</v>
      </c>
      <c r="B4" s="7" t="s">
        <v>139</v>
      </c>
      <c r="C4" s="7" t="s">
        <v>163</v>
      </c>
      <c r="D4" s="7" t="s">
        <v>144</v>
      </c>
      <c r="E4" s="7" t="s">
        <v>239</v>
      </c>
      <c r="F4" s="7" t="s">
        <v>242</v>
      </c>
      <c r="G4" s="7" t="s">
        <v>246</v>
      </c>
      <c r="H4" s="7" t="s">
        <v>248</v>
      </c>
      <c r="I4" s="7" t="s">
        <v>183</v>
      </c>
      <c r="J4" s="7" t="s">
        <v>188</v>
      </c>
      <c r="K4" s="7" t="s">
        <v>255</v>
      </c>
      <c r="L4" s="7" t="s">
        <v>671</v>
      </c>
      <c r="M4" s="7" t="s">
        <v>672</v>
      </c>
      <c r="N4" s="7" t="s">
        <v>673</v>
      </c>
      <c r="O4" s="7" t="s">
        <v>674</v>
      </c>
    </row>
    <row r="5" customFormat="false" ht="15" hidden="false" customHeight="false" outlineLevel="0" collapsed="false">
      <c r="A5" s="13" t="s">
        <v>341</v>
      </c>
      <c r="B5" s="13" t="s">
        <v>140</v>
      </c>
      <c r="C5" s="13" t="s">
        <v>164</v>
      </c>
      <c r="D5" s="15" t="b">
        <f aca="false">FALSE()</f>
        <v>0</v>
      </c>
      <c r="E5" s="13" t="n">
        <f aca="false">COUNTIFS(Sample_Games!$K$2:$K$121,A5)</f>
        <v>10</v>
      </c>
      <c r="F5" s="13" t="n">
        <f aca="false">COUNTIFS(Sample_Games!$K$2:$K$121,A5,Sample_Games!$T$2:$T$121,"W")</f>
        <v>6</v>
      </c>
      <c r="G5" s="13" t="n">
        <f aca="false">COUNTIFS(Sample_Games!$K$2:$K$121,A5,Sample_Games!$T$2:$T$121,"L")</f>
        <v>4</v>
      </c>
      <c r="H5" s="13" t="n">
        <f aca="false">F5*points_per_win</f>
        <v>12</v>
      </c>
      <c r="I5" s="13" t="n">
        <f aca="false">SUMIFS(Sample_Games!$U$2:$U$121,Sample_Games!$K$2:$K$121,A5)</f>
        <v>268</v>
      </c>
      <c r="J5" s="13" t="n">
        <f aca="false">SUMIFS(Sample_Games!$V$2:$V$121,Sample_Games!$K$2:$K$121,A5)</f>
        <v>256</v>
      </c>
      <c r="K5" s="13" t="n">
        <f aca="false">I5-J5</f>
        <v>12</v>
      </c>
      <c r="L5" s="13" t="n">
        <f aca="false">H5*100000000+(K5+10000)*1000+I5</f>
        <v>1210012268</v>
      </c>
      <c r="M5" s="13" t="n">
        <f aca="false">COUNTIF($L$5:$L$16,"&gt;"&amp;L5)+1</f>
        <v>5</v>
      </c>
      <c r="N5" s="24" t="n">
        <v>5</v>
      </c>
      <c r="O5" s="13" t="str">
        <f aca="false">IF(M5=N5,"OK","DIFF")</f>
        <v>OK</v>
      </c>
    </row>
    <row r="6" customFormat="false" ht="15" hidden="false" customHeight="false" outlineLevel="0" collapsed="false">
      <c r="A6" s="13" t="s">
        <v>342</v>
      </c>
      <c r="B6" s="13" t="s">
        <v>343</v>
      </c>
      <c r="C6" s="13" t="s">
        <v>164</v>
      </c>
      <c r="D6" s="15" t="b">
        <f aca="false">FALSE()</f>
        <v>0</v>
      </c>
      <c r="E6" s="13" t="n">
        <f aca="false">COUNTIFS(Sample_Games!$K$2:$K$121,A6)</f>
        <v>10</v>
      </c>
      <c r="F6" s="13" t="n">
        <f aca="false">COUNTIFS(Sample_Games!$K$2:$K$121,A6,Sample_Games!$T$2:$T$121,"W")</f>
        <v>5</v>
      </c>
      <c r="G6" s="13" t="n">
        <f aca="false">COUNTIFS(Sample_Games!$K$2:$K$121,A6,Sample_Games!$T$2:$T$121,"L")</f>
        <v>5</v>
      </c>
      <c r="H6" s="13" t="n">
        <f aca="false">F6*points_per_win</f>
        <v>10</v>
      </c>
      <c r="I6" s="13" t="n">
        <f aca="false">SUMIFS(Sample_Games!$U$2:$U$121,Sample_Games!$K$2:$K$121,A6)</f>
        <v>235</v>
      </c>
      <c r="J6" s="13" t="n">
        <f aca="false">SUMIFS(Sample_Games!$V$2:$V$121,Sample_Games!$K$2:$K$121,A6)</f>
        <v>256</v>
      </c>
      <c r="K6" s="13" t="n">
        <f aca="false">I6-J6</f>
        <v>-21</v>
      </c>
      <c r="L6" s="13" t="n">
        <f aca="false">H6*100000000+(K6+10000)*1000+I6</f>
        <v>1009979235</v>
      </c>
      <c r="M6" s="13" t="n">
        <f aca="false">COUNTIF($L$5:$L$16,"&gt;"&amp;L6)+1</f>
        <v>7</v>
      </c>
      <c r="N6" s="24" t="n">
        <v>7</v>
      </c>
      <c r="O6" s="13" t="str">
        <f aca="false">IF(M6=N6,"OK","DIFF")</f>
        <v>OK</v>
      </c>
    </row>
    <row r="7" customFormat="false" ht="15" hidden="false" customHeight="false" outlineLevel="0" collapsed="false">
      <c r="A7" s="13" t="s">
        <v>344</v>
      </c>
      <c r="B7" s="13" t="s">
        <v>345</v>
      </c>
      <c r="C7" s="13" t="s">
        <v>164</v>
      </c>
      <c r="D7" s="15" t="b">
        <f aca="false">FALSE()</f>
        <v>0</v>
      </c>
      <c r="E7" s="13" t="n">
        <f aca="false">COUNTIFS(Sample_Games!$K$2:$K$121,A7)</f>
        <v>10</v>
      </c>
      <c r="F7" s="13" t="n">
        <f aca="false">COUNTIFS(Sample_Games!$K$2:$K$121,A7,Sample_Games!$T$2:$T$121,"W")</f>
        <v>2</v>
      </c>
      <c r="G7" s="13" t="n">
        <f aca="false">COUNTIFS(Sample_Games!$K$2:$K$121,A7,Sample_Games!$T$2:$T$121,"L")</f>
        <v>8</v>
      </c>
      <c r="H7" s="13" t="n">
        <f aca="false">F7*points_per_win</f>
        <v>4</v>
      </c>
      <c r="I7" s="13" t="n">
        <f aca="false">SUMIFS(Sample_Games!$U$2:$U$121,Sample_Games!$K$2:$K$121,A7)</f>
        <v>246</v>
      </c>
      <c r="J7" s="13" t="n">
        <f aca="false">SUMIFS(Sample_Games!$V$2:$V$121,Sample_Games!$K$2:$K$121,A7)</f>
        <v>263</v>
      </c>
      <c r="K7" s="13" t="n">
        <f aca="false">I7-J7</f>
        <v>-17</v>
      </c>
      <c r="L7" s="13" t="n">
        <f aca="false">H7*100000000+(K7+10000)*1000+I7</f>
        <v>409983246</v>
      </c>
      <c r="M7" s="13" t="n">
        <f aca="false">COUNTIF($L$5:$L$16,"&gt;"&amp;L7)+1</f>
        <v>12</v>
      </c>
      <c r="N7" s="24" t="n">
        <v>12</v>
      </c>
      <c r="O7" s="13" t="str">
        <f aca="false">IF(M7=N7,"OK","DIFF")</f>
        <v>OK</v>
      </c>
    </row>
    <row r="8" customFormat="false" ht="15" hidden="false" customHeight="false" outlineLevel="0" collapsed="false">
      <c r="A8" s="13" t="s">
        <v>346</v>
      </c>
      <c r="B8" s="13" t="s">
        <v>347</v>
      </c>
      <c r="C8" s="13" t="s">
        <v>164</v>
      </c>
      <c r="D8" s="15" t="b">
        <f aca="false">FALSE()</f>
        <v>0</v>
      </c>
      <c r="E8" s="13" t="n">
        <f aca="false">COUNTIFS(Sample_Games!$K$2:$K$121,A8)</f>
        <v>10</v>
      </c>
      <c r="F8" s="13" t="n">
        <f aca="false">COUNTIFS(Sample_Games!$K$2:$K$121,A8,Sample_Games!$T$2:$T$121,"W")</f>
        <v>5</v>
      </c>
      <c r="G8" s="13" t="n">
        <f aca="false">COUNTIFS(Sample_Games!$K$2:$K$121,A8,Sample_Games!$T$2:$T$121,"L")</f>
        <v>5</v>
      </c>
      <c r="H8" s="13" t="n">
        <f aca="false">F8*points_per_win</f>
        <v>10</v>
      </c>
      <c r="I8" s="13" t="n">
        <f aca="false">SUMIFS(Sample_Games!$U$2:$U$121,Sample_Games!$K$2:$K$121,A8)</f>
        <v>260</v>
      </c>
      <c r="J8" s="13" t="n">
        <f aca="false">SUMIFS(Sample_Games!$V$2:$V$121,Sample_Games!$K$2:$K$121,A8)</f>
        <v>327</v>
      </c>
      <c r="K8" s="13" t="n">
        <f aca="false">I8-J8</f>
        <v>-67</v>
      </c>
      <c r="L8" s="13" t="n">
        <f aca="false">H8*100000000+(K8+10000)*1000+I8</f>
        <v>1009933260</v>
      </c>
      <c r="M8" s="13" t="n">
        <f aca="false">COUNTIF($L$5:$L$16,"&gt;"&amp;L8)+1</f>
        <v>8</v>
      </c>
      <c r="N8" s="24" t="n">
        <v>8</v>
      </c>
      <c r="O8" s="13" t="str">
        <f aca="false">IF(M8=N8,"OK","DIFF")</f>
        <v>OK</v>
      </c>
    </row>
    <row r="9" customFormat="false" ht="15" hidden="false" customHeight="false" outlineLevel="0" collapsed="false">
      <c r="A9" s="13" t="s">
        <v>348</v>
      </c>
      <c r="B9" s="13" t="s">
        <v>349</v>
      </c>
      <c r="C9" s="13" t="s">
        <v>164</v>
      </c>
      <c r="D9" s="15" t="b">
        <f aca="false">FALSE()</f>
        <v>0</v>
      </c>
      <c r="E9" s="13" t="n">
        <f aca="false">COUNTIFS(Sample_Games!$K$2:$K$121,A9)</f>
        <v>10</v>
      </c>
      <c r="F9" s="13" t="n">
        <f aca="false">COUNTIFS(Sample_Games!$K$2:$K$121,A9,Sample_Games!$T$2:$T$121,"W")</f>
        <v>7</v>
      </c>
      <c r="G9" s="13" t="n">
        <f aca="false">COUNTIFS(Sample_Games!$K$2:$K$121,A9,Sample_Games!$T$2:$T$121,"L")</f>
        <v>3</v>
      </c>
      <c r="H9" s="13" t="n">
        <f aca="false">F9*points_per_win</f>
        <v>14</v>
      </c>
      <c r="I9" s="13" t="n">
        <f aca="false">SUMIFS(Sample_Games!$U$2:$U$121,Sample_Games!$K$2:$K$121,A9)</f>
        <v>253</v>
      </c>
      <c r="J9" s="13" t="n">
        <f aca="false">SUMIFS(Sample_Games!$V$2:$V$121,Sample_Games!$K$2:$K$121,A9)</f>
        <v>223</v>
      </c>
      <c r="K9" s="13" t="n">
        <f aca="false">I9-J9</f>
        <v>30</v>
      </c>
      <c r="L9" s="13" t="n">
        <f aca="false">H9*100000000+(K9+10000)*1000+I9</f>
        <v>1410030253</v>
      </c>
      <c r="M9" s="13" t="n">
        <f aca="false">COUNTIF($L$5:$L$16,"&gt;"&amp;L9)+1</f>
        <v>2</v>
      </c>
      <c r="N9" s="24" t="n">
        <v>2</v>
      </c>
      <c r="O9" s="13" t="str">
        <f aca="false">IF(M9=N9,"OK","DIFF")</f>
        <v>OK</v>
      </c>
    </row>
    <row r="10" customFormat="false" ht="15" hidden="false" customHeight="false" outlineLevel="0" collapsed="false">
      <c r="A10" s="13" t="s">
        <v>350</v>
      </c>
      <c r="B10" s="13" t="s">
        <v>351</v>
      </c>
      <c r="C10" s="13" t="s">
        <v>164</v>
      </c>
      <c r="D10" s="15" t="b">
        <f aca="false">FALSE()</f>
        <v>0</v>
      </c>
      <c r="E10" s="13" t="n">
        <f aca="false">COUNTIFS(Sample_Games!$K$2:$K$121,A10)</f>
        <v>10</v>
      </c>
      <c r="F10" s="13" t="n">
        <f aca="false">COUNTIFS(Sample_Games!$K$2:$K$121,A10,Sample_Games!$T$2:$T$121,"W")</f>
        <v>4</v>
      </c>
      <c r="G10" s="13" t="n">
        <f aca="false">COUNTIFS(Sample_Games!$K$2:$K$121,A10,Sample_Games!$T$2:$T$121,"L")</f>
        <v>6</v>
      </c>
      <c r="H10" s="13" t="n">
        <f aca="false">F10*points_per_win</f>
        <v>8</v>
      </c>
      <c r="I10" s="13" t="n">
        <f aca="false">SUMIFS(Sample_Games!$U$2:$U$121,Sample_Games!$K$2:$K$121,A10)</f>
        <v>236</v>
      </c>
      <c r="J10" s="13" t="n">
        <f aca="false">SUMIFS(Sample_Games!$V$2:$V$121,Sample_Games!$K$2:$K$121,A10)</f>
        <v>250</v>
      </c>
      <c r="K10" s="13" t="n">
        <f aca="false">I10-J10</f>
        <v>-14</v>
      </c>
      <c r="L10" s="13" t="n">
        <f aca="false">H10*100000000+(K10+10000)*1000+I10</f>
        <v>809986236</v>
      </c>
      <c r="M10" s="13" t="n">
        <f aca="false">COUNTIF($L$5:$L$16,"&gt;"&amp;L10)+1</f>
        <v>10</v>
      </c>
      <c r="N10" s="24" t="n">
        <v>10</v>
      </c>
      <c r="O10" s="13" t="str">
        <f aca="false">IF(M10=N10,"OK","DIFF")</f>
        <v>OK</v>
      </c>
    </row>
    <row r="11" customFormat="false" ht="15" hidden="false" customHeight="false" outlineLevel="0" collapsed="false">
      <c r="A11" s="13" t="s">
        <v>352</v>
      </c>
      <c r="B11" s="13" t="s">
        <v>353</v>
      </c>
      <c r="C11" s="13" t="s">
        <v>236</v>
      </c>
      <c r="D11" s="15" t="b">
        <f aca="false">FALSE()</f>
        <v>0</v>
      </c>
      <c r="E11" s="13" t="n">
        <f aca="false">COUNTIFS(Sample_Games!$K$2:$K$121,A11)</f>
        <v>10</v>
      </c>
      <c r="F11" s="13" t="n">
        <f aca="false">COUNTIFS(Sample_Games!$K$2:$K$121,A11,Sample_Games!$T$2:$T$121,"W")</f>
        <v>7</v>
      </c>
      <c r="G11" s="13" t="n">
        <f aca="false">COUNTIFS(Sample_Games!$K$2:$K$121,A11,Sample_Games!$T$2:$T$121,"L")</f>
        <v>3</v>
      </c>
      <c r="H11" s="13" t="n">
        <f aca="false">F11*points_per_win</f>
        <v>14</v>
      </c>
      <c r="I11" s="13" t="n">
        <f aca="false">SUMIFS(Sample_Games!$U$2:$U$121,Sample_Games!$K$2:$K$121,A11)</f>
        <v>253</v>
      </c>
      <c r="J11" s="13" t="n">
        <f aca="false">SUMIFS(Sample_Games!$V$2:$V$121,Sample_Games!$K$2:$K$121,A11)</f>
        <v>212</v>
      </c>
      <c r="K11" s="13" t="n">
        <f aca="false">I11-J11</f>
        <v>41</v>
      </c>
      <c r="L11" s="13" t="n">
        <f aca="false">H11*100000000+(K11+10000)*1000+I11</f>
        <v>1410041253</v>
      </c>
      <c r="M11" s="13" t="n">
        <f aca="false">COUNTIF($L$5:$L$16,"&gt;"&amp;L11)+1</f>
        <v>1</v>
      </c>
      <c r="N11" s="24" t="n">
        <v>1</v>
      </c>
      <c r="O11" s="13" t="str">
        <f aca="false">IF(M11=N11,"OK","DIFF")</f>
        <v>OK</v>
      </c>
    </row>
    <row r="12" customFormat="false" ht="15" hidden="false" customHeight="false" outlineLevel="0" collapsed="false">
      <c r="A12" s="13" t="s">
        <v>354</v>
      </c>
      <c r="B12" s="13" t="s">
        <v>355</v>
      </c>
      <c r="C12" s="13" t="s">
        <v>236</v>
      </c>
      <c r="D12" s="15" t="b">
        <f aca="false">FALSE()</f>
        <v>0</v>
      </c>
      <c r="E12" s="13" t="n">
        <f aca="false">COUNTIFS(Sample_Games!$K$2:$K$121,A12)</f>
        <v>10</v>
      </c>
      <c r="F12" s="13" t="n">
        <f aca="false">COUNTIFS(Sample_Games!$K$2:$K$121,A12,Sample_Games!$T$2:$T$121,"W")</f>
        <v>6</v>
      </c>
      <c r="G12" s="13" t="n">
        <f aca="false">COUNTIFS(Sample_Games!$K$2:$K$121,A12,Sample_Games!$T$2:$T$121,"L")</f>
        <v>4</v>
      </c>
      <c r="H12" s="13" t="n">
        <f aca="false">F12*points_per_win</f>
        <v>12</v>
      </c>
      <c r="I12" s="13" t="n">
        <f aca="false">SUMIFS(Sample_Games!$U$2:$U$121,Sample_Games!$K$2:$K$121,A12)</f>
        <v>269</v>
      </c>
      <c r="J12" s="13" t="n">
        <f aca="false">SUMIFS(Sample_Games!$V$2:$V$121,Sample_Games!$K$2:$K$121,A12)</f>
        <v>239</v>
      </c>
      <c r="K12" s="13" t="n">
        <f aca="false">I12-J12</f>
        <v>30</v>
      </c>
      <c r="L12" s="13" t="n">
        <f aca="false">H12*100000000+(K12+10000)*1000+I12</f>
        <v>1210030269</v>
      </c>
      <c r="M12" s="13" t="n">
        <f aca="false">COUNTIF($L$5:$L$16,"&gt;"&amp;L12)+1</f>
        <v>4</v>
      </c>
      <c r="N12" s="24" t="n">
        <v>4</v>
      </c>
      <c r="O12" s="13" t="str">
        <f aca="false">IF(M12=N12,"OK","DIFF")</f>
        <v>OK</v>
      </c>
    </row>
    <row r="13" customFormat="false" ht="15" hidden="false" customHeight="false" outlineLevel="0" collapsed="false">
      <c r="A13" s="13" t="s">
        <v>356</v>
      </c>
      <c r="B13" s="13" t="s">
        <v>357</v>
      </c>
      <c r="C13" s="13" t="s">
        <v>236</v>
      </c>
      <c r="D13" s="15" t="b">
        <f aca="false">FALSE()</f>
        <v>0</v>
      </c>
      <c r="E13" s="13" t="n">
        <f aca="false">COUNTIFS(Sample_Games!$K$2:$K$121,A13)</f>
        <v>10</v>
      </c>
      <c r="F13" s="13" t="n">
        <f aca="false">COUNTIFS(Sample_Games!$K$2:$K$121,A13,Sample_Games!$T$2:$T$121,"W")</f>
        <v>5</v>
      </c>
      <c r="G13" s="13" t="n">
        <f aca="false">COUNTIFS(Sample_Games!$K$2:$K$121,A13,Sample_Games!$T$2:$T$121,"L")</f>
        <v>5</v>
      </c>
      <c r="H13" s="13" t="n">
        <f aca="false">F13*points_per_win</f>
        <v>10</v>
      </c>
      <c r="I13" s="13" t="n">
        <f aca="false">SUMIFS(Sample_Games!$U$2:$U$121,Sample_Games!$K$2:$K$121,A13)</f>
        <v>219</v>
      </c>
      <c r="J13" s="13" t="n">
        <f aca="false">SUMIFS(Sample_Games!$V$2:$V$121,Sample_Games!$K$2:$K$121,A13)</f>
        <v>218</v>
      </c>
      <c r="K13" s="13" t="n">
        <f aca="false">I13-J13</f>
        <v>1</v>
      </c>
      <c r="L13" s="13" t="n">
        <f aca="false">H13*100000000+(K13+10000)*1000+I13</f>
        <v>1010001219</v>
      </c>
      <c r="M13" s="13" t="n">
        <f aca="false">COUNTIF($L$5:$L$16,"&gt;"&amp;L13)+1</f>
        <v>6</v>
      </c>
      <c r="N13" s="24" t="n">
        <v>6</v>
      </c>
      <c r="O13" s="13" t="str">
        <f aca="false">IF(M13=N13,"OK","DIFF")</f>
        <v>OK</v>
      </c>
    </row>
    <row r="14" customFormat="false" ht="15" hidden="false" customHeight="false" outlineLevel="0" collapsed="false">
      <c r="A14" s="13" t="s">
        <v>358</v>
      </c>
      <c r="B14" s="13" t="s">
        <v>359</v>
      </c>
      <c r="C14" s="13" t="s">
        <v>236</v>
      </c>
      <c r="D14" s="15" t="b">
        <f aca="false">FALSE()</f>
        <v>0</v>
      </c>
      <c r="E14" s="13" t="n">
        <f aca="false">COUNTIFS(Sample_Games!$K$2:$K$121,A14)</f>
        <v>10</v>
      </c>
      <c r="F14" s="13" t="n">
        <f aca="false">COUNTIFS(Sample_Games!$K$2:$K$121,A14,Sample_Games!$T$2:$T$121,"W")</f>
        <v>6</v>
      </c>
      <c r="G14" s="13" t="n">
        <f aca="false">COUNTIFS(Sample_Games!$K$2:$K$121,A14,Sample_Games!$T$2:$T$121,"L")</f>
        <v>4</v>
      </c>
      <c r="H14" s="13" t="n">
        <f aca="false">F14*points_per_win</f>
        <v>12</v>
      </c>
      <c r="I14" s="13" t="n">
        <f aca="false">SUMIFS(Sample_Games!$U$2:$U$121,Sample_Games!$K$2:$K$121,A14)</f>
        <v>267</v>
      </c>
      <c r="J14" s="13" t="n">
        <f aca="false">SUMIFS(Sample_Games!$V$2:$V$121,Sample_Games!$K$2:$K$121,A14)</f>
        <v>233</v>
      </c>
      <c r="K14" s="13" t="n">
        <f aca="false">I14-J14</f>
        <v>34</v>
      </c>
      <c r="L14" s="13" t="n">
        <f aca="false">H14*100000000+(K14+10000)*1000+I14</f>
        <v>1210034267</v>
      </c>
      <c r="M14" s="13" t="n">
        <f aca="false">COUNTIF($L$5:$L$16,"&gt;"&amp;L14)+1</f>
        <v>3</v>
      </c>
      <c r="N14" s="24" t="n">
        <v>3</v>
      </c>
      <c r="O14" s="13" t="str">
        <f aca="false">IF(M14=N14,"OK","DIFF")</f>
        <v>OK</v>
      </c>
    </row>
    <row r="15" customFormat="false" ht="15" hidden="false" customHeight="false" outlineLevel="0" collapsed="false">
      <c r="A15" s="13" t="s">
        <v>360</v>
      </c>
      <c r="B15" s="13" t="s">
        <v>361</v>
      </c>
      <c r="C15" s="13" t="s">
        <v>236</v>
      </c>
      <c r="D15" s="15" t="b">
        <f aca="false">FALSE()</f>
        <v>0</v>
      </c>
      <c r="E15" s="13" t="n">
        <f aca="false">COUNTIFS(Sample_Games!$K$2:$K$121,A15)</f>
        <v>10</v>
      </c>
      <c r="F15" s="13" t="n">
        <f aca="false">COUNTIFS(Sample_Games!$K$2:$K$121,A15,Sample_Games!$T$2:$T$121,"W")</f>
        <v>3</v>
      </c>
      <c r="G15" s="13" t="n">
        <f aca="false">COUNTIFS(Sample_Games!$K$2:$K$121,A15,Sample_Games!$T$2:$T$121,"L")</f>
        <v>7</v>
      </c>
      <c r="H15" s="13" t="n">
        <f aca="false">F15*points_per_win</f>
        <v>6</v>
      </c>
      <c r="I15" s="13" t="n">
        <f aca="false">SUMIFS(Sample_Games!$U$2:$U$121,Sample_Games!$K$2:$K$121,A15)</f>
        <v>188</v>
      </c>
      <c r="J15" s="13" t="n">
        <f aca="false">SUMIFS(Sample_Games!$V$2:$V$121,Sample_Games!$K$2:$K$121,A15)</f>
        <v>230</v>
      </c>
      <c r="K15" s="13" t="n">
        <f aca="false">I15-J15</f>
        <v>-42</v>
      </c>
      <c r="L15" s="13" t="n">
        <f aca="false">H15*100000000+(K15+10000)*1000+I15</f>
        <v>609958188</v>
      </c>
      <c r="M15" s="13" t="n">
        <f aca="false">COUNTIF($L$5:$L$16,"&gt;"&amp;L15)+1</f>
        <v>11</v>
      </c>
      <c r="N15" s="24" t="n">
        <v>11</v>
      </c>
      <c r="O15" s="13" t="str">
        <f aca="false">IF(M15=N15,"OK","DIFF")</f>
        <v>OK</v>
      </c>
    </row>
    <row r="16" customFormat="false" ht="15" hidden="false" customHeight="false" outlineLevel="0" collapsed="false">
      <c r="A16" s="13" t="s">
        <v>362</v>
      </c>
      <c r="B16" s="13" t="s">
        <v>172</v>
      </c>
      <c r="C16" s="13" t="s">
        <v>236</v>
      </c>
      <c r="D16" s="15" t="b">
        <f aca="false">TRUE()</f>
        <v>1</v>
      </c>
      <c r="E16" s="13" t="n">
        <f aca="false">COUNTIFS(Sample_Games!$K$2:$K$121,A16)</f>
        <v>10</v>
      </c>
      <c r="F16" s="13" t="n">
        <f aca="false">COUNTIFS(Sample_Games!$K$2:$K$121,A16,Sample_Games!$T$2:$T$121,"W")</f>
        <v>4</v>
      </c>
      <c r="G16" s="13" t="n">
        <f aca="false">COUNTIFS(Sample_Games!$K$2:$K$121,A16,Sample_Games!$T$2:$T$121,"L")</f>
        <v>6</v>
      </c>
      <c r="H16" s="13" t="n">
        <f aca="false">F16*points_per_win</f>
        <v>8</v>
      </c>
      <c r="I16" s="13" t="n">
        <f aca="false">SUMIFS(Sample_Games!$U$2:$U$121,Sample_Games!$K$2:$K$121,A16)</f>
        <v>301</v>
      </c>
      <c r="J16" s="13" t="n">
        <f aca="false">SUMIFS(Sample_Games!$V$2:$V$121,Sample_Games!$K$2:$K$121,A16)</f>
        <v>288</v>
      </c>
      <c r="K16" s="13" t="n">
        <f aca="false">I16-J16</f>
        <v>13</v>
      </c>
      <c r="L16" s="13" t="n">
        <f aca="false">H16*100000000+(K16+10000)*1000+I16</f>
        <v>810013301</v>
      </c>
      <c r="M16" s="13" t="n">
        <f aca="false">COUNTIF($L$5:$L$16,"&gt;"&amp;L16)+1</f>
        <v>9</v>
      </c>
      <c r="N16" s="24" t="n">
        <v>9</v>
      </c>
      <c r="O16" s="13" t="str">
        <f aca="false">IF(M16=N16,"OK","DIFF")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675</v>
      </c>
      <c r="B1" s="2"/>
      <c r="C1" s="2"/>
      <c r="D1" s="2"/>
      <c r="E1" s="2"/>
    </row>
    <row r="2" customFormat="false" ht="15" hidden="false" customHeight="false" outlineLevel="0" collapsed="false">
      <c r="A2" s="3" t="s">
        <v>676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6.85" hidden="false" customHeight="false" outlineLevel="0" collapsed="false">
      <c r="A4" s="7" t="s">
        <v>71</v>
      </c>
      <c r="B4" s="7" t="s">
        <v>677</v>
      </c>
      <c r="C4" s="7" t="s">
        <v>678</v>
      </c>
      <c r="D4" s="7" t="s">
        <v>679</v>
      </c>
      <c r="E4" s="7" t="s">
        <v>370</v>
      </c>
    </row>
    <row r="5" customFormat="false" ht="26.85" hidden="false" customHeight="false" outlineLevel="0" collapsed="false">
      <c r="A5" s="25" t="n">
        <v>1</v>
      </c>
      <c r="B5" s="25" t="s">
        <v>680</v>
      </c>
      <c r="C5" s="25" t="s">
        <v>681</v>
      </c>
      <c r="D5" s="26" t="b">
        <f aca="false">COUNTIF(Sample_Games!$T$2:$T$121,"W")=COUNTIF(Sample_Games!$T$2:$T$121,"L")</f>
        <v>1</v>
      </c>
      <c r="E5" s="25" t="str">
        <f aca="false">IF(D5,"PASS","FAIL")</f>
        <v>PASS</v>
      </c>
    </row>
    <row r="6" customFormat="false" ht="15" hidden="false" customHeight="false" outlineLevel="0" collapsed="false">
      <c r="A6" s="25" t="n">
        <v>2</v>
      </c>
      <c r="B6" s="25" t="s">
        <v>682</v>
      </c>
      <c r="C6" s="25" t="s">
        <v>683</v>
      </c>
      <c r="D6" s="26" t="b">
        <f aca="false">SUMPRODUCT((COUNTIF(Sample_Games!$G$2:$G$121,Sample_Games!$G$2:$G$121)&lt;&gt;2)*1)=0</f>
        <v>1</v>
      </c>
      <c r="E6" s="25" t="str">
        <f aca="false">IF(D6,"PASS","FAIL")</f>
        <v>PASS</v>
      </c>
    </row>
    <row r="7" customFormat="false" ht="15" hidden="false" customHeight="false" outlineLevel="0" collapsed="false">
      <c r="A7" s="25" t="n">
        <v>3</v>
      </c>
      <c r="B7" s="25" t="s">
        <v>684</v>
      </c>
      <c r="C7" s="25" t="s">
        <v>685</v>
      </c>
      <c r="D7" s="26" t="b">
        <f aca="false">SUMPRODUCT((COUNTIF(Sample_Games!$H$2:$H$121,Sample_Games!$H$2:$H$121)&gt;1)*1)=0</f>
        <v>1</v>
      </c>
      <c r="E7" s="25" t="str">
        <f aca="false">IF(D7,"PASS","FAIL")</f>
        <v>PASS</v>
      </c>
    </row>
    <row r="8" customFormat="false" ht="15" hidden="false" customHeight="false" outlineLevel="0" collapsed="false">
      <c r="A8" s="25" t="n">
        <v>4</v>
      </c>
      <c r="B8" s="25" t="s">
        <v>686</v>
      </c>
      <c r="C8" s="25" t="s">
        <v>185</v>
      </c>
      <c r="D8" s="26" t="b">
        <f aca="false">SUMPRODUCT(((Sample_Games!$T$2:$T$121="W")&lt;&gt;(Sample_Games!$U$2:$U$121&gt;Sample_Games!$V$2:$V$121))*1)=0</f>
        <v>1</v>
      </c>
      <c r="E8" s="25" t="str">
        <f aca="false">IF(D8,"PASS","FAIL")</f>
        <v>PASS</v>
      </c>
    </row>
    <row r="9" customFormat="false" ht="15" hidden="false" customHeight="false" outlineLevel="0" collapsed="false">
      <c r="A9" s="25" t="n">
        <v>5</v>
      </c>
      <c r="B9" s="25" t="s">
        <v>687</v>
      </c>
      <c r="C9" s="25" t="s">
        <v>688</v>
      </c>
      <c r="D9" s="26" t="b">
        <f aca="false">SUMPRODUCT((Sample_Games!$W$2:$W$121&lt;&gt;Sample_Games!$U$2:$U$121-Sample_Games!$V$2:$V$121)*1)=0</f>
        <v>1</v>
      </c>
      <c r="E9" s="25" t="str">
        <f aca="false">IF(D9,"PASS","FAIL")</f>
        <v>PASS</v>
      </c>
    </row>
    <row r="10" customFormat="false" ht="15" hidden="false" customHeight="false" outlineLevel="0" collapsed="false">
      <c r="A10" s="25" t="n">
        <v>6</v>
      </c>
      <c r="B10" s="25" t="s">
        <v>689</v>
      </c>
      <c r="C10" s="25" t="s">
        <v>690</v>
      </c>
      <c r="D10" s="26" t="b">
        <f aca="false">SUMPRODUCT((Sample_Standings!$E$5:$E$16&lt;&gt;weeks_per_season)*1)=0</f>
        <v>1</v>
      </c>
      <c r="E10" s="25" t="str">
        <f aca="false">IF(D10,"PASS","FAIL")</f>
        <v>PASS</v>
      </c>
    </row>
    <row r="11" customFormat="false" ht="15" hidden="false" customHeight="false" outlineLevel="0" collapsed="false">
      <c r="A11" s="25" t="n">
        <v>7</v>
      </c>
      <c r="B11" s="25" t="s">
        <v>691</v>
      </c>
      <c r="C11" s="25" t="s">
        <v>692</v>
      </c>
      <c r="D11" s="26" t="b">
        <f aca="false">COUNTIF(Sample_Games!$M$2:$M$121,TRUE())=weeks_per_season</f>
        <v>1</v>
      </c>
      <c r="E11" s="25" t="str">
        <f aca="false">IF(D11,"PASS","FAIL")</f>
        <v>PASS</v>
      </c>
    </row>
    <row r="12" customFormat="false" ht="15" hidden="false" customHeight="false" outlineLevel="0" collapsed="false">
      <c r="A12" s="25" t="n">
        <v>8</v>
      </c>
      <c r="B12" s="25" t="s">
        <v>693</v>
      </c>
      <c r="C12" s="25" t="s">
        <v>694</v>
      </c>
      <c r="D12" s="26" t="b">
        <f aca="false">AND(SUMPRODUCT((COUNTIF(Sample_Standings!$M$5:$M$16,Sample_Standings!$M$5:$M$16)&lt;&gt;1)*1)=0,MAX(Sample_Standings!$M$5:$M$16)=teams_per_season)</f>
        <v>1</v>
      </c>
      <c r="E12" s="25" t="str">
        <f aca="false">IF(D12,"PASS","FAIL")</f>
        <v>PASS</v>
      </c>
    </row>
    <row r="13" customFormat="false" ht="15" hidden="false" customHeight="false" outlineLevel="0" collapsed="false">
      <c r="A13" s="25" t="n">
        <v>9</v>
      </c>
      <c r="B13" s="25" t="s">
        <v>695</v>
      </c>
      <c r="C13" s="25" t="s">
        <v>696</v>
      </c>
      <c r="D13" s="26" t="b">
        <f aca="false">COUNTIF(Sample_Standings!$O$5:$O$16,"DIFF")=0</f>
        <v>1</v>
      </c>
      <c r="E13" s="25" t="str">
        <f aca="false">IF(D13,"PASS","FAIL")</f>
        <v>PASS</v>
      </c>
    </row>
    <row r="14" customFormat="false" ht="15" hidden="false" customHeight="false" outlineLevel="0" collapsed="false">
      <c r="A14" s="25" t="n">
        <v>10</v>
      </c>
      <c r="B14" s="25" t="s">
        <v>697</v>
      </c>
      <c r="C14" s="25" t="s">
        <v>698</v>
      </c>
      <c r="D14" s="26" t="b">
        <f aca="false">AND(MIN(Sample_Games!$AD$2:$AD$121)&gt;=0,MAX(Sample_Games!$AD$2:$AD$121)&lt;=1)</f>
        <v>1</v>
      </c>
      <c r="E14" s="25" t="str">
        <f aca="false">IF(D14,"PASS","FAIL")</f>
        <v>PASS</v>
      </c>
    </row>
    <row r="15" customFormat="false" ht="15" hidden="false" customHeight="false" outlineLevel="0" collapsed="false">
      <c r="A15" s="25" t="n">
        <v>11</v>
      </c>
      <c r="B15" s="25" t="s">
        <v>699</v>
      </c>
      <c r="C15" s="25" t="s">
        <v>700</v>
      </c>
      <c r="D15" s="26" t="b">
        <f aca="false">ABS(w_offence+w_defence+w_special_teams-1)&lt;0.0001</f>
        <v>1</v>
      </c>
      <c r="E15" s="25" t="str">
        <f aca="false">IF(D15,"PASS","FAIL")</f>
        <v>PASS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2"/>
      <c r="B17" s="4" t="s">
        <v>701</v>
      </c>
      <c r="C17" s="2"/>
      <c r="D17" s="2"/>
      <c r="E17" s="4" t="str">
        <f aca="false">IF(COUNTIF(E5:E15,"PASS")=11,"ALL PASS","FAIL")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702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703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6.85" hidden="false" customHeight="false" outlineLevel="0" collapsed="false">
      <c r="A4" s="7" t="s">
        <v>139</v>
      </c>
      <c r="B4" s="7" t="s">
        <v>144</v>
      </c>
      <c r="C4" s="7" t="s">
        <v>211</v>
      </c>
      <c r="D4" s="7" t="s">
        <v>704</v>
      </c>
      <c r="E4" s="7" t="s">
        <v>705</v>
      </c>
      <c r="F4" s="7" t="s">
        <v>706</v>
      </c>
      <c r="G4" s="7" t="s">
        <v>707</v>
      </c>
      <c r="H4" s="7" t="s">
        <v>708</v>
      </c>
      <c r="I4" s="7" t="s">
        <v>709</v>
      </c>
    </row>
    <row r="5" customFormat="false" ht="15" hidden="false" customHeight="false" outlineLevel="0" collapsed="false">
      <c r="A5" s="13" t="s">
        <v>140</v>
      </c>
      <c r="B5" s="15" t="b">
        <f aca="false">FALSE()</f>
        <v>0</v>
      </c>
      <c r="C5" s="13" t="n">
        <v>83.18</v>
      </c>
      <c r="D5" s="13" t="n">
        <v>7.459</v>
      </c>
      <c r="E5" s="27" t="n">
        <v>0.4655</v>
      </c>
      <c r="F5" s="27" t="n">
        <v>0.789</v>
      </c>
      <c r="G5" s="13" t="n">
        <v>2.42</v>
      </c>
      <c r="H5" s="13" t="n">
        <v>43.1</v>
      </c>
      <c r="I5" s="13" t="n">
        <v>4.87</v>
      </c>
    </row>
    <row r="6" customFormat="false" ht="15" hidden="false" customHeight="false" outlineLevel="0" collapsed="false">
      <c r="A6" s="13" t="s">
        <v>353</v>
      </c>
      <c r="B6" s="15" t="b">
        <f aca="false">FALSE()</f>
        <v>0</v>
      </c>
      <c r="C6" s="13" t="n">
        <v>76.32</v>
      </c>
      <c r="D6" s="13" t="n">
        <v>6.372</v>
      </c>
      <c r="E6" s="27" t="n">
        <v>0.171</v>
      </c>
      <c r="F6" s="27" t="n">
        <v>0.52</v>
      </c>
      <c r="G6" s="13" t="n">
        <v>4.02</v>
      </c>
      <c r="H6" s="13" t="n">
        <v>22.1</v>
      </c>
      <c r="I6" s="13" t="n">
        <v>3.74</v>
      </c>
    </row>
    <row r="7" customFormat="false" ht="15" hidden="false" customHeight="false" outlineLevel="0" collapsed="false">
      <c r="A7" s="13" t="s">
        <v>347</v>
      </c>
      <c r="B7" s="15" t="b">
        <f aca="false">FALSE()</f>
        <v>0</v>
      </c>
      <c r="C7" s="13" t="n">
        <v>76.13</v>
      </c>
      <c r="D7" s="13" t="n">
        <v>5.75</v>
      </c>
      <c r="E7" s="27" t="n">
        <v>0.0945</v>
      </c>
      <c r="F7" s="27" t="n">
        <v>0.347</v>
      </c>
      <c r="G7" s="13" t="n">
        <v>5.16</v>
      </c>
      <c r="H7" s="13" t="n">
        <v>11.7</v>
      </c>
      <c r="I7" s="13" t="n">
        <v>3.39</v>
      </c>
    </row>
    <row r="8" customFormat="false" ht="15" hidden="false" customHeight="false" outlineLevel="0" collapsed="false">
      <c r="A8" s="13" t="s">
        <v>349</v>
      </c>
      <c r="B8" s="15" t="b">
        <f aca="false">FALSE()</f>
        <v>0</v>
      </c>
      <c r="C8" s="13" t="n">
        <v>73.44</v>
      </c>
      <c r="D8" s="13" t="n">
        <v>5.843</v>
      </c>
      <c r="E8" s="27" t="n">
        <v>0.1</v>
      </c>
      <c r="F8" s="27" t="n">
        <v>0.37</v>
      </c>
      <c r="G8" s="13" t="n">
        <v>4.96</v>
      </c>
      <c r="H8" s="13" t="n">
        <v>13.1</v>
      </c>
      <c r="I8" s="13" t="n">
        <v>3.48</v>
      </c>
    </row>
    <row r="9" customFormat="false" ht="15" hidden="false" customHeight="false" outlineLevel="0" collapsed="false">
      <c r="A9" s="13" t="s">
        <v>355</v>
      </c>
      <c r="B9" s="15" t="b">
        <f aca="false">FALSE()</f>
        <v>0</v>
      </c>
      <c r="C9" s="13" t="n">
        <v>71.54</v>
      </c>
      <c r="D9" s="13" t="n">
        <v>5.393</v>
      </c>
      <c r="E9" s="27" t="n">
        <v>0.0495</v>
      </c>
      <c r="F9" s="27" t="n">
        <v>0.2585</v>
      </c>
      <c r="G9" s="13" t="n">
        <v>5.76</v>
      </c>
      <c r="H9" s="13" t="n">
        <v>6</v>
      </c>
      <c r="I9" s="13" t="n">
        <v>2.97</v>
      </c>
    </row>
    <row r="10" customFormat="false" ht="15" hidden="false" customHeight="false" outlineLevel="0" collapsed="false">
      <c r="A10" s="13" t="s">
        <v>172</v>
      </c>
      <c r="B10" s="15" t="b">
        <f aca="false">TRUE()</f>
        <v>1</v>
      </c>
      <c r="C10" s="13" t="n">
        <v>70.69</v>
      </c>
      <c r="D10" s="13" t="n">
        <v>5.248</v>
      </c>
      <c r="E10" s="27" t="n">
        <v>0.0515</v>
      </c>
      <c r="F10" s="27" t="n">
        <v>0.2335</v>
      </c>
      <c r="G10" s="13" t="n">
        <v>6.05</v>
      </c>
      <c r="H10" s="13" t="n">
        <v>3.6</v>
      </c>
      <c r="I10" s="13" t="n">
        <v>3.14</v>
      </c>
    </row>
    <row r="11" customFormat="false" ht="15" hidden="false" customHeight="false" outlineLevel="0" collapsed="false">
      <c r="A11" s="13" t="s">
        <v>343</v>
      </c>
      <c r="B11" s="15" t="b">
        <f aca="false">FALSE()</f>
        <v>0</v>
      </c>
      <c r="C11" s="13" t="n">
        <v>69.16</v>
      </c>
      <c r="D11" s="13" t="n">
        <v>4.651</v>
      </c>
      <c r="E11" s="27" t="n">
        <v>0.02</v>
      </c>
      <c r="F11" s="27" t="n">
        <v>0.1345</v>
      </c>
      <c r="G11" s="13" t="n">
        <v>7.16</v>
      </c>
      <c r="H11" s="13" t="n">
        <v>-4.9</v>
      </c>
      <c r="I11" s="13" t="n">
        <v>2.52</v>
      </c>
    </row>
    <row r="12" customFormat="false" ht="15" hidden="false" customHeight="false" outlineLevel="0" collapsed="false">
      <c r="A12" s="13" t="s">
        <v>357</v>
      </c>
      <c r="B12" s="15" t="b">
        <f aca="false">FALSE()</f>
        <v>0</v>
      </c>
      <c r="C12" s="13" t="n">
        <v>68.39</v>
      </c>
      <c r="D12" s="13" t="n">
        <v>4.466</v>
      </c>
      <c r="E12" s="27" t="n">
        <v>0.0145</v>
      </c>
      <c r="F12" s="27" t="n">
        <v>0.1155</v>
      </c>
      <c r="G12" s="13" t="n">
        <v>7.47</v>
      </c>
      <c r="H12" s="13" t="n">
        <v>-8.3</v>
      </c>
      <c r="I12" s="13" t="n">
        <v>2.45</v>
      </c>
    </row>
    <row r="13" customFormat="false" ht="15" hidden="false" customHeight="false" outlineLevel="0" collapsed="false">
      <c r="A13" s="13" t="s">
        <v>351</v>
      </c>
      <c r="B13" s="15" t="b">
        <f aca="false">FALSE()</f>
        <v>0</v>
      </c>
      <c r="C13" s="13" t="n">
        <v>66.15</v>
      </c>
      <c r="D13" s="13" t="n">
        <v>4.057</v>
      </c>
      <c r="E13" s="27" t="n">
        <v>0.0115</v>
      </c>
      <c r="F13" s="27" t="n">
        <v>0.0745</v>
      </c>
      <c r="G13" s="13" t="n">
        <v>8.19</v>
      </c>
      <c r="H13" s="13" t="n">
        <v>-15.3</v>
      </c>
      <c r="I13" s="13" t="n">
        <v>2.17</v>
      </c>
    </row>
    <row r="14" customFormat="false" ht="15" hidden="false" customHeight="false" outlineLevel="0" collapsed="false">
      <c r="A14" s="13" t="s">
        <v>359</v>
      </c>
      <c r="B14" s="15" t="b">
        <f aca="false">FALSE()</f>
        <v>0</v>
      </c>
      <c r="C14" s="13" t="n">
        <v>65.53</v>
      </c>
      <c r="D14" s="13" t="n">
        <v>4.29</v>
      </c>
      <c r="E14" s="27" t="n">
        <v>0.0115</v>
      </c>
      <c r="F14" s="27" t="n">
        <v>0.0825</v>
      </c>
      <c r="G14" s="13" t="n">
        <v>7.82</v>
      </c>
      <c r="H14" s="13" t="n">
        <v>-11.3</v>
      </c>
      <c r="I14" s="13" t="n">
        <v>2.38</v>
      </c>
    </row>
    <row r="15" customFormat="false" ht="15" hidden="false" customHeight="false" outlineLevel="0" collapsed="false">
      <c r="A15" s="13" t="s">
        <v>345</v>
      </c>
      <c r="B15" s="15" t="b">
        <f aca="false">FALSE()</f>
        <v>0</v>
      </c>
      <c r="C15" s="13" t="n">
        <v>63.04</v>
      </c>
      <c r="D15" s="13" t="n">
        <v>3.954</v>
      </c>
      <c r="E15" s="27" t="n">
        <v>0.0095</v>
      </c>
      <c r="F15" s="27" t="n">
        <v>0.066</v>
      </c>
      <c r="G15" s="13" t="n">
        <v>8.42</v>
      </c>
      <c r="H15" s="13" t="n">
        <v>-18.4</v>
      </c>
      <c r="I15" s="13" t="n">
        <v>2.25</v>
      </c>
    </row>
    <row r="16" customFormat="false" ht="15" hidden="false" customHeight="false" outlineLevel="0" collapsed="false">
      <c r="A16" s="13" t="s">
        <v>361</v>
      </c>
      <c r="B16" s="15" t="b">
        <f aca="false">FALSE()</f>
        <v>0</v>
      </c>
      <c r="C16" s="13" t="n">
        <v>58.14</v>
      </c>
      <c r="D16" s="13" t="n">
        <v>2.518</v>
      </c>
      <c r="E16" s="27" t="n">
        <v>0.001</v>
      </c>
      <c r="F16" s="27" t="n">
        <v>0.009</v>
      </c>
      <c r="G16" s="13" t="n">
        <v>10.56</v>
      </c>
      <c r="H16" s="13" t="n">
        <v>-41.4</v>
      </c>
      <c r="I16" s="13" t="n">
        <v>1.42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4" t="s">
        <v>710</v>
      </c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7" t="s">
        <v>262</v>
      </c>
      <c r="B19" s="7" t="s">
        <v>336</v>
      </c>
      <c r="C19" s="7" t="s">
        <v>711</v>
      </c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13" t="n">
        <v>1</v>
      </c>
      <c r="B20" s="13" t="n">
        <v>103</v>
      </c>
      <c r="C20" s="27" t="n">
        <f aca="false">B20/SUM($B$20:$B$31)</f>
        <v>0.0515</v>
      </c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13" t="n">
        <v>2</v>
      </c>
      <c r="B21" s="13" t="n">
        <v>167</v>
      </c>
      <c r="C21" s="27" t="n">
        <f aca="false">B21/SUM($B$20:$B$31)</f>
        <v>0.0835</v>
      </c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13" t="n">
        <v>3</v>
      </c>
      <c r="B22" s="13" t="n">
        <v>197</v>
      </c>
      <c r="C22" s="27" t="n">
        <f aca="false">B22/SUM($B$20:$B$31)</f>
        <v>0.0985</v>
      </c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13" t="n">
        <v>4</v>
      </c>
      <c r="B23" s="13" t="n">
        <v>211</v>
      </c>
      <c r="C23" s="27" t="n">
        <f aca="false">B23/SUM($B$20:$B$31)</f>
        <v>0.1055</v>
      </c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13" t="n">
        <v>5</v>
      </c>
      <c r="B24" s="13" t="n">
        <v>244</v>
      </c>
      <c r="C24" s="27" t="n">
        <f aca="false">B24/SUM($B$20:$B$31)</f>
        <v>0.122</v>
      </c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13" t="n">
        <v>6</v>
      </c>
      <c r="B25" s="13" t="n">
        <v>210</v>
      </c>
      <c r="C25" s="27" t="n">
        <f aca="false">B25/SUM($B$20:$B$31)</f>
        <v>0.105</v>
      </c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13" t="n">
        <v>7</v>
      </c>
      <c r="B26" s="13" t="n">
        <v>195</v>
      </c>
      <c r="C26" s="27" t="n">
        <f aca="false">B26/SUM($B$20:$B$31)</f>
        <v>0.0975</v>
      </c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13" t="n">
        <v>8</v>
      </c>
      <c r="B27" s="13" t="n">
        <v>203</v>
      </c>
      <c r="C27" s="27" t="n">
        <f aca="false">B27/SUM($B$20:$B$31)</f>
        <v>0.1015</v>
      </c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13" t="n">
        <v>9</v>
      </c>
      <c r="B28" s="13" t="n">
        <v>154</v>
      </c>
      <c r="C28" s="27" t="n">
        <f aca="false">B28/SUM($B$20:$B$31)</f>
        <v>0.077</v>
      </c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13" t="n">
        <v>10</v>
      </c>
      <c r="B29" s="13" t="n">
        <v>148</v>
      </c>
      <c r="C29" s="27" t="n">
        <f aca="false">B29/SUM($B$20:$B$31)</f>
        <v>0.074</v>
      </c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13" t="n">
        <v>11</v>
      </c>
      <c r="B30" s="13" t="n">
        <v>116</v>
      </c>
      <c r="C30" s="27" t="n">
        <f aca="false">B30/SUM($B$20:$B$31)</f>
        <v>0.058</v>
      </c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13" t="n">
        <v>12</v>
      </c>
      <c r="B31" s="13" t="n">
        <v>52</v>
      </c>
      <c r="C31" s="27" t="n">
        <f aca="false">B31/SUM($B$20:$B$31)</f>
        <v>0.026</v>
      </c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4" t="s">
        <v>712</v>
      </c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7" t="s">
        <v>713</v>
      </c>
      <c r="B34" s="7" t="s">
        <v>714</v>
      </c>
      <c r="C34" s="7" t="s">
        <v>711</v>
      </c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13" t="s">
        <v>715</v>
      </c>
      <c r="B35" s="13" t="n">
        <v>33563</v>
      </c>
      <c r="C35" s="27" t="n">
        <f aca="false">B35/SUM($B$35:$B$40)</f>
        <v>0.279691666666667</v>
      </c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13" t="s">
        <v>716</v>
      </c>
      <c r="B36" s="13" t="n">
        <v>33983</v>
      </c>
      <c r="C36" s="27" t="n">
        <f aca="false">B36/SUM($B$35:$B$40)</f>
        <v>0.283191666666667</v>
      </c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13" t="s">
        <v>717</v>
      </c>
      <c r="B37" s="13" t="n">
        <v>37064</v>
      </c>
      <c r="C37" s="27" t="n">
        <f aca="false">B37/SUM($B$35:$B$40)</f>
        <v>0.308866666666667</v>
      </c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13" t="s">
        <v>718</v>
      </c>
      <c r="B38" s="13" t="n">
        <v>12899</v>
      </c>
      <c r="C38" s="27" t="n">
        <f aca="false">B38/SUM($B$35:$B$40)</f>
        <v>0.107491666666667</v>
      </c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13" t="s">
        <v>719</v>
      </c>
      <c r="B39" s="13" t="n">
        <v>2266</v>
      </c>
      <c r="C39" s="27" t="n">
        <f aca="false">B39/SUM($B$35:$B$40)</f>
        <v>0.0188833333333333</v>
      </c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13" t="s">
        <v>720</v>
      </c>
      <c r="B40" s="13" t="n">
        <v>225</v>
      </c>
      <c r="C40" s="27" t="n">
        <f aca="false">B40/SUM($B$35:$B$40)</f>
        <v>0.001875</v>
      </c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3" t="s">
        <v>721</v>
      </c>
      <c r="B42" s="2"/>
      <c r="C42" s="2"/>
      <c r="D42" s="2"/>
      <c r="E42" s="2"/>
      <c r="F42" s="2"/>
      <c r="G42" s="2"/>
      <c r="H42" s="2"/>
      <c r="I4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7" min="3" style="0" width="12"/>
  </cols>
  <sheetData>
    <row r="1" customFormat="false" ht="19.7" hidden="false" customHeight="false" outlineLevel="0" collapsed="false">
      <c r="A1" s="1" t="s">
        <v>722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723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724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725</v>
      </c>
      <c r="B5" s="28" t="n">
        <v>5000</v>
      </c>
      <c r="C5" s="2" t="s">
        <v>726</v>
      </c>
      <c r="D5" s="2"/>
      <c r="E5" s="2"/>
      <c r="F5" s="2"/>
      <c r="G5" s="2"/>
    </row>
    <row r="6" customFormat="false" ht="15" hidden="false" customHeight="false" outlineLevel="0" collapsed="false">
      <c r="A6" s="2" t="s">
        <v>727</v>
      </c>
      <c r="B6" s="28" t="n">
        <v>10000</v>
      </c>
      <c r="C6" s="2" t="s">
        <v>728</v>
      </c>
      <c r="D6" s="2"/>
      <c r="E6" s="2"/>
      <c r="F6" s="2"/>
      <c r="G6" s="2"/>
    </row>
    <row r="7" customFormat="false" ht="15" hidden="false" customHeight="false" outlineLevel="0" collapsed="false">
      <c r="A7" s="2" t="s">
        <v>729</v>
      </c>
      <c r="B7" s="28" t="n">
        <v>60000</v>
      </c>
      <c r="C7" s="2" t="s">
        <v>730</v>
      </c>
      <c r="D7" s="2"/>
      <c r="E7" s="2"/>
      <c r="F7" s="2"/>
      <c r="G7" s="2"/>
    </row>
    <row r="8" customFormat="false" ht="15" hidden="false" customHeight="false" outlineLevel="0" collapsed="false">
      <c r="A8" s="2" t="s">
        <v>731</v>
      </c>
      <c r="B8" s="28" t="n">
        <v>40000</v>
      </c>
      <c r="C8" s="2" t="s">
        <v>730</v>
      </c>
      <c r="D8" s="2"/>
      <c r="E8" s="2"/>
      <c r="F8" s="2"/>
      <c r="G8" s="2"/>
    </row>
    <row r="9" customFormat="false" ht="15" hidden="false" customHeight="false" outlineLevel="0" collapsed="false">
      <c r="A9" s="2" t="s">
        <v>732</v>
      </c>
      <c r="B9" s="28" t="n">
        <v>20000</v>
      </c>
      <c r="C9" s="2" t="s">
        <v>730</v>
      </c>
      <c r="D9" s="2"/>
      <c r="E9" s="2"/>
      <c r="F9" s="2"/>
      <c r="G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4" t="s">
        <v>733</v>
      </c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2" t="s">
        <v>734</v>
      </c>
      <c r="B12" s="29" t="n">
        <f aca="false">Monte_Carlo!D10</f>
        <v>5.248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2" t="s">
        <v>705</v>
      </c>
      <c r="B13" s="30" t="n">
        <f aca="false">INDEX(Monte_Carlo!C20:C31,1)</f>
        <v>0.0515</v>
      </c>
      <c r="C13" s="2"/>
      <c r="D13" s="2"/>
      <c r="E13" s="2"/>
      <c r="F13" s="2"/>
      <c r="G13" s="2"/>
    </row>
    <row r="14" customFormat="false" ht="15" hidden="false" customHeight="false" outlineLevel="0" collapsed="false">
      <c r="A14" s="2" t="s">
        <v>735</v>
      </c>
      <c r="B14" s="30" t="n">
        <f aca="false">INDEX(Monte_Carlo!C20:C31,2)</f>
        <v>0.0835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2" t="s">
        <v>736</v>
      </c>
      <c r="B15" s="30" t="n">
        <f aca="false">INDEX(Monte_Carlo!C20:C31,3)</f>
        <v>0.0985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4" t="s">
        <v>737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" t="s">
        <v>738</v>
      </c>
      <c r="B18" s="4" t="s">
        <v>739</v>
      </c>
      <c r="C18" s="4" t="s">
        <v>740</v>
      </c>
      <c r="D18" s="4" t="s">
        <v>741</v>
      </c>
      <c r="E18" s="4" t="s">
        <v>742</v>
      </c>
      <c r="F18" s="4" t="s">
        <v>743</v>
      </c>
      <c r="G18" s="4" t="s">
        <v>744</v>
      </c>
    </row>
    <row r="19" customFormat="false" ht="15" hidden="false" customHeight="false" outlineLevel="0" collapsed="false">
      <c r="A19" s="2" t="s">
        <v>745</v>
      </c>
      <c r="B19" s="31" t="n">
        <v>12000</v>
      </c>
      <c r="C19" s="31" t="n">
        <v>30000</v>
      </c>
      <c r="D19" s="31" t="n">
        <v>65000</v>
      </c>
      <c r="E19" s="31" t="n">
        <v>120000</v>
      </c>
      <c r="F19" s="31" t="n">
        <v>250000</v>
      </c>
      <c r="G19" s="31" t="n">
        <f aca="false">SUM(B19:F19)</f>
        <v>477000</v>
      </c>
    </row>
    <row r="20" customFormat="false" ht="15" hidden="false" customHeight="false" outlineLevel="0" collapsed="false">
      <c r="A20" s="2" t="s">
        <v>746</v>
      </c>
      <c r="B20" s="31" t="n">
        <v>8000</v>
      </c>
      <c r="C20" s="31" t="n">
        <v>18000</v>
      </c>
      <c r="D20" s="31" t="n">
        <v>40000</v>
      </c>
      <c r="E20" s="31" t="n">
        <v>80000</v>
      </c>
      <c r="F20" s="31" t="n">
        <v>150000</v>
      </c>
      <c r="G20" s="31" t="n">
        <f aca="false">SUM(B20:F20)</f>
        <v>296000</v>
      </c>
    </row>
    <row r="21" customFormat="false" ht="15" hidden="false" customHeight="false" outlineLevel="0" collapsed="false">
      <c r="A21" s="2" t="s">
        <v>747</v>
      </c>
      <c r="B21" s="31" t="n">
        <v>10000</v>
      </c>
      <c r="C21" s="31" t="n">
        <v>25000</v>
      </c>
      <c r="D21" s="31" t="n">
        <v>50000</v>
      </c>
      <c r="E21" s="31" t="n">
        <v>100000</v>
      </c>
      <c r="F21" s="31" t="n">
        <v>200000</v>
      </c>
      <c r="G21" s="31" t="n">
        <f aca="false">SUM(B21:F21)</f>
        <v>385000</v>
      </c>
    </row>
    <row r="22" customFormat="false" ht="15" hidden="false" customHeight="false" outlineLevel="0" collapsed="false">
      <c r="A22" s="4" t="s">
        <v>748</v>
      </c>
      <c r="B22" s="2"/>
      <c r="C22" s="2"/>
      <c r="D22" s="2"/>
      <c r="E22" s="2"/>
      <c r="F22" s="2"/>
      <c r="G22" s="32" t="n">
        <f aca="false">SUM(G19:G21)</f>
        <v>1158000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4" t="s">
        <v>749</v>
      </c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4" t="s">
        <v>750</v>
      </c>
      <c r="B25" s="32" t="n">
        <f aca="false">weeks_per_season*B5+B12*B6+B13*B7+B14*B8+B15*B9</f>
        <v>110880</v>
      </c>
      <c r="C25" s="2"/>
      <c r="D25" s="2"/>
      <c r="E25" s="2"/>
      <c r="F25" s="2"/>
      <c r="G25" s="2"/>
    </row>
    <row r="26" customFormat="false" ht="15" hidden="false" customHeight="false" outlineLevel="0" collapsed="false">
      <c r="A26" s="4" t="s">
        <v>751</v>
      </c>
      <c r="B26" s="33" t="n">
        <f aca="false">G22/B25</f>
        <v>10.4437229437229</v>
      </c>
      <c r="C26" s="2"/>
      <c r="D26" s="2"/>
      <c r="E26" s="2"/>
      <c r="F26" s="2"/>
      <c r="G26" s="2"/>
    </row>
    <row r="27" customFormat="false" ht="15" hidden="false" customHeight="false" outlineLevel="0" collapsed="false">
      <c r="A27" s="2" t="s">
        <v>752</v>
      </c>
      <c r="B27" s="28" t="n">
        <v>1200000</v>
      </c>
      <c r="C27" s="2"/>
      <c r="D27" s="2"/>
      <c r="E27" s="2"/>
      <c r="F27" s="2"/>
      <c r="G27" s="2"/>
    </row>
    <row r="28" customFormat="false" ht="15" hidden="false" customHeight="false" outlineLevel="0" collapsed="false">
      <c r="A28" s="2" t="s">
        <v>753</v>
      </c>
      <c r="B28" s="34" t="n">
        <f aca="false">B27/G22</f>
        <v>1.03626943005181</v>
      </c>
      <c r="C28" s="2"/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4" t="s">
        <v>226</v>
      </c>
      <c r="B30" s="4" t="s">
        <v>754</v>
      </c>
      <c r="C30" s="4" t="s">
        <v>755</v>
      </c>
      <c r="D30" s="2"/>
      <c r="E30" s="2"/>
      <c r="F30" s="2"/>
      <c r="G30" s="2"/>
    </row>
    <row r="31" customFormat="false" ht="15" hidden="false" customHeight="false" outlineLevel="0" collapsed="false">
      <c r="A31" s="2" t="n">
        <v>1</v>
      </c>
      <c r="B31" s="31" t="n">
        <f aca="false">A31*$B$25</f>
        <v>110880</v>
      </c>
      <c r="C31" s="31" t="n">
        <f aca="false">$G$22</f>
        <v>1158000</v>
      </c>
      <c r="D31" s="2"/>
      <c r="E31" s="2"/>
      <c r="F31" s="2"/>
      <c r="G31" s="2"/>
    </row>
    <row r="32" customFormat="false" ht="15" hidden="false" customHeight="false" outlineLevel="0" collapsed="false">
      <c r="A32" s="2" t="n">
        <v>2</v>
      </c>
      <c r="B32" s="31" t="n">
        <f aca="false">A32*$B$25</f>
        <v>221760</v>
      </c>
      <c r="C32" s="31" t="n">
        <f aca="false">$G$22</f>
        <v>1158000</v>
      </c>
      <c r="D32" s="2"/>
      <c r="E32" s="2"/>
      <c r="F32" s="2"/>
      <c r="G32" s="2"/>
    </row>
    <row r="33" customFormat="false" ht="15" hidden="false" customHeight="false" outlineLevel="0" collapsed="false">
      <c r="A33" s="2" t="n">
        <v>3</v>
      </c>
      <c r="B33" s="31" t="n">
        <f aca="false">A33*$B$25</f>
        <v>332640</v>
      </c>
      <c r="C33" s="31" t="n">
        <f aca="false">$G$22</f>
        <v>1158000</v>
      </c>
      <c r="D33" s="2"/>
      <c r="E33" s="2"/>
      <c r="F33" s="2"/>
      <c r="G33" s="2"/>
    </row>
    <row r="34" customFormat="false" ht="15" hidden="false" customHeight="false" outlineLevel="0" collapsed="false">
      <c r="A34" s="2" t="n">
        <v>4</v>
      </c>
      <c r="B34" s="31" t="n">
        <f aca="false">A34*$B$25</f>
        <v>443520</v>
      </c>
      <c r="C34" s="31" t="n">
        <f aca="false">$G$22</f>
        <v>1158000</v>
      </c>
      <c r="D34" s="2"/>
      <c r="E34" s="2"/>
      <c r="F34" s="2"/>
      <c r="G34" s="2"/>
    </row>
    <row r="35" customFormat="false" ht="15" hidden="false" customHeight="false" outlineLevel="0" collapsed="false">
      <c r="A35" s="2" t="n">
        <v>5</v>
      </c>
      <c r="B35" s="31" t="n">
        <f aca="false">A35*$B$25</f>
        <v>554400</v>
      </c>
      <c r="C35" s="31" t="n">
        <f aca="false">$G$22</f>
        <v>1158000</v>
      </c>
      <c r="D35" s="2"/>
      <c r="E35" s="2"/>
      <c r="F35" s="2"/>
      <c r="G35" s="2"/>
    </row>
    <row r="36" customFormat="false" ht="15" hidden="false" customHeight="false" outlineLevel="0" collapsed="false">
      <c r="A36" s="2" t="n">
        <v>6</v>
      </c>
      <c r="B36" s="31" t="n">
        <f aca="false">A36*$B$25</f>
        <v>665280</v>
      </c>
      <c r="C36" s="31" t="n">
        <f aca="false">$G$22</f>
        <v>1158000</v>
      </c>
      <c r="D36" s="2"/>
      <c r="E36" s="2"/>
      <c r="F36" s="2"/>
      <c r="G36" s="2"/>
    </row>
    <row r="37" customFormat="false" ht="15" hidden="false" customHeight="false" outlineLevel="0" collapsed="false">
      <c r="A37" s="2" t="n">
        <v>7</v>
      </c>
      <c r="B37" s="31" t="n">
        <f aca="false">A37*$B$25</f>
        <v>776160</v>
      </c>
      <c r="C37" s="31" t="n">
        <f aca="false">$G$22</f>
        <v>1158000</v>
      </c>
      <c r="D37" s="2"/>
      <c r="E37" s="2"/>
      <c r="F37" s="2"/>
      <c r="G37" s="2"/>
    </row>
    <row r="38" customFormat="false" ht="15" hidden="false" customHeight="false" outlineLevel="0" collapsed="false">
      <c r="A38" s="2" t="n">
        <v>8</v>
      </c>
      <c r="B38" s="31" t="n">
        <f aca="false">A38*$B$25</f>
        <v>887040</v>
      </c>
      <c r="C38" s="31" t="n">
        <f aca="false">$G$22</f>
        <v>1158000</v>
      </c>
      <c r="D38" s="2"/>
      <c r="E38" s="2"/>
      <c r="F38" s="2"/>
      <c r="G38" s="2"/>
    </row>
    <row r="39" customFormat="false" ht="15" hidden="false" customHeight="false" outlineLevel="0" collapsed="false">
      <c r="A39" s="2" t="n">
        <v>9</v>
      </c>
      <c r="B39" s="31" t="n">
        <f aca="false">A39*$B$25</f>
        <v>997920</v>
      </c>
      <c r="C39" s="31" t="n">
        <f aca="false">$G$22</f>
        <v>1158000</v>
      </c>
      <c r="D39" s="2"/>
      <c r="E39" s="2"/>
      <c r="F39" s="2"/>
      <c r="G39" s="2"/>
    </row>
    <row r="40" customFormat="false" ht="15" hidden="false" customHeight="false" outlineLevel="0" collapsed="false">
      <c r="A40" s="2" t="n">
        <v>10</v>
      </c>
      <c r="B40" s="31" t="n">
        <f aca="false">A40*$B$25</f>
        <v>1108800</v>
      </c>
      <c r="C40" s="31" t="n">
        <f aca="false">$G$22</f>
        <v>1158000</v>
      </c>
      <c r="D40" s="2"/>
      <c r="E40" s="2"/>
      <c r="F40" s="2"/>
      <c r="G40" s="2"/>
    </row>
    <row r="41" customFormat="false" ht="15" hidden="false" customHeight="false" outlineLevel="0" collapsed="false">
      <c r="A41" s="2" t="n">
        <v>11</v>
      </c>
      <c r="B41" s="31" t="n">
        <f aca="false">A41*$B$25</f>
        <v>1219680</v>
      </c>
      <c r="C41" s="31" t="n">
        <f aca="false">$G$22</f>
        <v>1158000</v>
      </c>
      <c r="D41" s="2"/>
      <c r="E41" s="2"/>
      <c r="F41" s="2"/>
      <c r="G41" s="2"/>
    </row>
    <row r="42" customFormat="false" ht="15" hidden="false" customHeight="false" outlineLevel="0" collapsed="false">
      <c r="A42" s="2" t="n">
        <v>12</v>
      </c>
      <c r="B42" s="31" t="n">
        <f aca="false">A42*$B$25</f>
        <v>1330560</v>
      </c>
      <c r="C42" s="31" t="n">
        <f aca="false">$G$22</f>
        <v>1158000</v>
      </c>
      <c r="D42" s="2"/>
      <c r="E42" s="2"/>
      <c r="F42" s="2"/>
      <c r="G42" s="2"/>
    </row>
    <row r="43" customFormat="false" ht="15" hidden="false" customHeight="false" outlineLevel="0" collapsed="false">
      <c r="A43" s="2" t="n">
        <v>13</v>
      </c>
      <c r="B43" s="31" t="n">
        <f aca="false">A43*$B$25</f>
        <v>1441440</v>
      </c>
      <c r="C43" s="31" t="n">
        <f aca="false">$G$22</f>
        <v>1158000</v>
      </c>
      <c r="D43" s="2"/>
      <c r="E43" s="2"/>
      <c r="F43" s="2"/>
      <c r="G43" s="2"/>
    </row>
    <row r="44" customFormat="false" ht="15" hidden="false" customHeight="false" outlineLevel="0" collapsed="false">
      <c r="A44" s="2" t="n">
        <v>14</v>
      </c>
      <c r="B44" s="31" t="n">
        <f aca="false">A44*$B$25</f>
        <v>1552320</v>
      </c>
      <c r="C44" s="31" t="n">
        <f aca="false">$G$22</f>
        <v>1158000</v>
      </c>
      <c r="D44" s="2"/>
      <c r="E44" s="2"/>
      <c r="F44" s="2"/>
      <c r="G44" s="2"/>
    </row>
    <row r="45" customFormat="false" ht="15" hidden="false" customHeight="false" outlineLevel="0" collapsed="false">
      <c r="A45" s="2" t="n">
        <v>15</v>
      </c>
      <c r="B45" s="31" t="n">
        <f aca="false">A45*$B$25</f>
        <v>1663200</v>
      </c>
      <c r="C45" s="31" t="n">
        <f aca="false">$G$22</f>
        <v>1158000</v>
      </c>
      <c r="D45" s="2"/>
      <c r="E45" s="2"/>
      <c r="F45" s="2"/>
      <c r="G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5" hidden="false" customHeight="false" outlineLevel="0" collapsed="false">
      <c r="A47" s="3" t="s">
        <v>756</v>
      </c>
      <c r="B47" s="2"/>
      <c r="C47" s="2"/>
      <c r="D47" s="2"/>
      <c r="E47" s="2"/>
      <c r="F47" s="2"/>
      <c r="G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0"/>
    <col collapsed="false" customWidth="true" hidden="false" outlineLevel="0" max="8" min="8" style="0" width="9"/>
  </cols>
  <sheetData>
    <row r="1" customFormat="false" ht="19.7" hidden="false" customHeight="false" outlineLevel="0" collapsed="false">
      <c r="A1" s="1" t="s">
        <v>757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758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6.85" hidden="false" customHeight="false" outlineLevel="0" collapsed="false">
      <c r="A4" s="7" t="s">
        <v>759</v>
      </c>
      <c r="B4" s="7" t="s">
        <v>233</v>
      </c>
      <c r="C4" s="7" t="s">
        <v>760</v>
      </c>
      <c r="D4" s="7" t="s">
        <v>761</v>
      </c>
      <c r="E4" s="7" t="s">
        <v>762</v>
      </c>
      <c r="F4" s="7" t="s">
        <v>763</v>
      </c>
      <c r="G4" s="7" t="s">
        <v>764</v>
      </c>
      <c r="H4" s="7" t="s">
        <v>765</v>
      </c>
    </row>
    <row r="5" customFormat="false" ht="26.85" hidden="false" customHeight="false" outlineLevel="0" collapsed="false">
      <c r="A5" s="8" t="s">
        <v>766</v>
      </c>
      <c r="B5" s="19" t="s">
        <v>767</v>
      </c>
      <c r="C5" s="8" t="s">
        <v>768</v>
      </c>
      <c r="D5" s="8" t="s">
        <v>769</v>
      </c>
      <c r="E5" s="8" t="s">
        <v>770</v>
      </c>
      <c r="F5" s="8" t="s">
        <v>771</v>
      </c>
      <c r="G5" s="8"/>
      <c r="H5" s="8" t="n">
        <v>1</v>
      </c>
    </row>
    <row r="6" customFormat="false" ht="39.55" hidden="false" customHeight="false" outlineLevel="0" collapsed="false">
      <c r="A6" s="8" t="s">
        <v>772</v>
      </c>
      <c r="B6" s="19" t="s">
        <v>767</v>
      </c>
      <c r="C6" s="8" t="s">
        <v>773</v>
      </c>
      <c r="D6" s="8" t="s">
        <v>774</v>
      </c>
      <c r="E6" s="8" t="s">
        <v>775</v>
      </c>
      <c r="F6" s="8" t="s">
        <v>776</v>
      </c>
      <c r="G6" s="8" t="s">
        <v>766</v>
      </c>
      <c r="H6" s="8" t="n">
        <v>1.5</v>
      </c>
    </row>
    <row r="7" customFormat="false" ht="26.85" hidden="false" customHeight="false" outlineLevel="0" collapsed="false">
      <c r="A7" s="8" t="s">
        <v>777</v>
      </c>
      <c r="B7" s="19" t="s">
        <v>767</v>
      </c>
      <c r="C7" s="8" t="s">
        <v>778</v>
      </c>
      <c r="D7" s="8" t="s">
        <v>779</v>
      </c>
      <c r="E7" s="8" t="s">
        <v>780</v>
      </c>
      <c r="F7" s="8" t="s">
        <v>781</v>
      </c>
      <c r="G7" s="8" t="s">
        <v>766</v>
      </c>
      <c r="H7" s="8" t="n">
        <v>1</v>
      </c>
    </row>
    <row r="8" customFormat="false" ht="26.85" hidden="false" customHeight="false" outlineLevel="0" collapsed="false">
      <c r="A8" s="8" t="s">
        <v>782</v>
      </c>
      <c r="B8" s="19" t="s">
        <v>767</v>
      </c>
      <c r="C8" s="8" t="s">
        <v>783</v>
      </c>
      <c r="D8" s="8" t="s">
        <v>784</v>
      </c>
      <c r="E8" s="8" t="s">
        <v>785</v>
      </c>
      <c r="F8" s="8" t="s">
        <v>786</v>
      </c>
      <c r="G8" s="8" t="s">
        <v>787</v>
      </c>
      <c r="H8" s="8" t="n">
        <v>0.5</v>
      </c>
    </row>
    <row r="9" customFormat="false" ht="26.85" hidden="false" customHeight="false" outlineLevel="0" collapsed="false">
      <c r="A9" s="8" t="s">
        <v>788</v>
      </c>
      <c r="B9" s="19" t="s">
        <v>767</v>
      </c>
      <c r="C9" s="8" t="s">
        <v>789</v>
      </c>
      <c r="D9" s="8" t="s">
        <v>790</v>
      </c>
      <c r="E9" s="8" t="s">
        <v>791</v>
      </c>
      <c r="F9" s="8" t="s">
        <v>792</v>
      </c>
      <c r="G9" s="8" t="s">
        <v>793</v>
      </c>
      <c r="H9" s="8" t="n">
        <v>0.5</v>
      </c>
    </row>
    <row r="10" customFormat="false" ht="26.85" hidden="false" customHeight="false" outlineLevel="0" collapsed="false">
      <c r="A10" s="8" t="s">
        <v>794</v>
      </c>
      <c r="B10" s="12" t="s">
        <v>795</v>
      </c>
      <c r="C10" s="8" t="s">
        <v>796</v>
      </c>
      <c r="D10" s="8" t="s">
        <v>797</v>
      </c>
      <c r="E10" s="8" t="s">
        <v>798</v>
      </c>
      <c r="F10" s="8" t="s">
        <v>799</v>
      </c>
      <c r="G10" s="8" t="s">
        <v>766</v>
      </c>
      <c r="H10" s="8" t="n">
        <v>0.5</v>
      </c>
    </row>
    <row r="11" customFormat="false" ht="26.85" hidden="false" customHeight="false" outlineLevel="0" collapsed="false">
      <c r="A11" s="8" t="s">
        <v>800</v>
      </c>
      <c r="B11" s="12" t="s">
        <v>795</v>
      </c>
      <c r="C11" s="8" t="s">
        <v>801</v>
      </c>
      <c r="D11" s="8" t="s">
        <v>802</v>
      </c>
      <c r="E11" s="8" t="s">
        <v>803</v>
      </c>
      <c r="F11" s="8" t="s">
        <v>804</v>
      </c>
      <c r="G11" s="8" t="s">
        <v>794</v>
      </c>
      <c r="H11" s="8" t="n">
        <v>1</v>
      </c>
    </row>
    <row r="12" customFormat="false" ht="26.85" hidden="false" customHeight="false" outlineLevel="0" collapsed="false">
      <c r="A12" s="8" t="s">
        <v>805</v>
      </c>
      <c r="B12" s="12" t="s">
        <v>795</v>
      </c>
      <c r="C12" s="8" t="s">
        <v>806</v>
      </c>
      <c r="D12" s="8" t="s">
        <v>807</v>
      </c>
      <c r="E12" s="8" t="s">
        <v>456</v>
      </c>
      <c r="F12" s="8" t="s">
        <v>808</v>
      </c>
      <c r="G12" s="8" t="s">
        <v>800</v>
      </c>
      <c r="H12" s="8" t="n">
        <v>1</v>
      </c>
    </row>
    <row r="13" customFormat="false" ht="15" hidden="false" customHeight="false" outlineLevel="0" collapsed="false">
      <c r="A13" s="8" t="s">
        <v>809</v>
      </c>
      <c r="B13" s="12" t="s">
        <v>795</v>
      </c>
      <c r="C13" s="8" t="s">
        <v>810</v>
      </c>
      <c r="D13" s="8" t="s">
        <v>811</v>
      </c>
      <c r="E13" s="8" t="s">
        <v>812</v>
      </c>
      <c r="F13" s="8" t="s">
        <v>813</v>
      </c>
      <c r="G13" s="8" t="s">
        <v>805</v>
      </c>
      <c r="H13" s="8" t="n">
        <v>0.5</v>
      </c>
    </row>
    <row r="14" customFormat="false" ht="15" hidden="false" customHeight="false" outlineLevel="0" collapsed="false">
      <c r="A14" s="8" t="s">
        <v>787</v>
      </c>
      <c r="B14" s="12" t="s">
        <v>795</v>
      </c>
      <c r="C14" s="8" t="s">
        <v>814</v>
      </c>
      <c r="D14" s="8" t="s">
        <v>815</v>
      </c>
      <c r="E14" s="8" t="s">
        <v>816</v>
      </c>
      <c r="F14" s="8" t="s">
        <v>817</v>
      </c>
      <c r="G14" s="8" t="s">
        <v>809</v>
      </c>
      <c r="H14" s="8" t="n">
        <v>0.5</v>
      </c>
    </row>
    <row r="15" customFormat="false" ht="26.85" hidden="false" customHeight="false" outlineLevel="0" collapsed="false">
      <c r="A15" s="8" t="s">
        <v>818</v>
      </c>
      <c r="B15" s="12" t="s">
        <v>795</v>
      </c>
      <c r="C15" s="8" t="s">
        <v>819</v>
      </c>
      <c r="D15" s="8" t="s">
        <v>820</v>
      </c>
      <c r="E15" s="8" t="s">
        <v>821</v>
      </c>
      <c r="F15" s="8" t="s">
        <v>822</v>
      </c>
      <c r="G15" s="8" t="s">
        <v>787</v>
      </c>
      <c r="H15" s="8" t="n">
        <v>0.5</v>
      </c>
    </row>
    <row r="16" customFormat="false" ht="39.55" hidden="false" customHeight="false" outlineLevel="0" collapsed="false">
      <c r="A16" s="8" t="s">
        <v>823</v>
      </c>
      <c r="B16" s="17" t="s">
        <v>824</v>
      </c>
      <c r="C16" s="8" t="s">
        <v>825</v>
      </c>
      <c r="D16" s="8" t="s">
        <v>826</v>
      </c>
      <c r="E16" s="8" t="s">
        <v>827</v>
      </c>
      <c r="F16" s="8" t="s">
        <v>828</v>
      </c>
      <c r="G16" s="8" t="s">
        <v>766</v>
      </c>
      <c r="H16" s="8" t="n">
        <v>1</v>
      </c>
    </row>
    <row r="17" customFormat="false" ht="26.85" hidden="false" customHeight="false" outlineLevel="0" collapsed="false">
      <c r="A17" s="8" t="s">
        <v>829</v>
      </c>
      <c r="B17" s="17" t="s">
        <v>824</v>
      </c>
      <c r="C17" s="8" t="s">
        <v>830</v>
      </c>
      <c r="D17" s="8" t="s">
        <v>831</v>
      </c>
      <c r="E17" s="8" t="s">
        <v>832</v>
      </c>
      <c r="F17" s="8" t="s">
        <v>833</v>
      </c>
      <c r="G17" s="8"/>
      <c r="H17" s="8" t="n">
        <v>1</v>
      </c>
    </row>
    <row r="18" customFormat="false" ht="26.85" hidden="false" customHeight="false" outlineLevel="0" collapsed="false">
      <c r="A18" s="8" t="s">
        <v>834</v>
      </c>
      <c r="B18" s="17" t="s">
        <v>824</v>
      </c>
      <c r="C18" s="8" t="s">
        <v>835</v>
      </c>
      <c r="D18" s="8" t="s">
        <v>836</v>
      </c>
      <c r="E18" s="8" t="s">
        <v>837</v>
      </c>
      <c r="F18" s="8" t="s">
        <v>838</v>
      </c>
      <c r="G18" s="8" t="s">
        <v>839</v>
      </c>
      <c r="H18" s="8" t="n">
        <v>0.5</v>
      </c>
    </row>
    <row r="19" customFormat="false" ht="26.85" hidden="false" customHeight="false" outlineLevel="0" collapsed="false">
      <c r="A19" s="8" t="s">
        <v>840</v>
      </c>
      <c r="B19" s="17" t="s">
        <v>824</v>
      </c>
      <c r="C19" s="8" t="s">
        <v>841</v>
      </c>
      <c r="D19" s="8" t="s">
        <v>842</v>
      </c>
      <c r="E19" s="8" t="s">
        <v>843</v>
      </c>
      <c r="F19" s="8" t="s">
        <v>844</v>
      </c>
      <c r="G19" s="8" t="s">
        <v>787</v>
      </c>
      <c r="H19" s="8" t="n">
        <v>0.5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4" t="s">
        <v>744</v>
      </c>
      <c r="C21" s="2"/>
      <c r="D21" s="2"/>
      <c r="E21" s="2"/>
      <c r="F21" s="2"/>
      <c r="G21" s="2"/>
      <c r="H21" s="4" t="n">
        <f aca="false">SUM(H5:H19)</f>
        <v>11.5</v>
      </c>
    </row>
    <row r="22" customFormat="false" ht="15" hidden="false" customHeight="false" outlineLevel="0" collapsed="false">
      <c r="A22" s="2"/>
      <c r="B22" s="2" t="s">
        <v>767</v>
      </c>
      <c r="C22" s="2"/>
      <c r="D22" s="2"/>
      <c r="E22" s="2"/>
      <c r="F22" s="2"/>
      <c r="G22" s="2"/>
      <c r="H22" s="2" t="n">
        <f aca="false">SUMIFS($H$5:$H$19,$B$5:$B$19,B22)</f>
        <v>4.5</v>
      </c>
    </row>
    <row r="23" customFormat="false" ht="15" hidden="false" customHeight="false" outlineLevel="0" collapsed="false">
      <c r="A23" s="2"/>
      <c r="B23" s="2" t="s">
        <v>795</v>
      </c>
      <c r="C23" s="2"/>
      <c r="D23" s="2"/>
      <c r="E23" s="2"/>
      <c r="F23" s="2"/>
      <c r="G23" s="2"/>
      <c r="H23" s="2" t="n">
        <f aca="false">SUMIFS($H$5:$H$19,$B$5:$B$19,B23)</f>
        <v>4</v>
      </c>
    </row>
    <row r="24" customFormat="false" ht="15" hidden="false" customHeight="false" outlineLevel="0" collapsed="false">
      <c r="A24" s="2"/>
      <c r="B24" s="2" t="s">
        <v>824</v>
      </c>
      <c r="C24" s="2"/>
      <c r="D24" s="2"/>
      <c r="E24" s="2"/>
      <c r="F24" s="2"/>
      <c r="G24" s="2"/>
      <c r="H24" s="2" t="n">
        <f aca="false">SUMIFS($H$5:$H$19,$B$5:$B$19,B24)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845</v>
      </c>
      <c r="B1" s="2"/>
      <c r="C1" s="2"/>
      <c r="D1" s="2"/>
      <c r="E1" s="2"/>
    </row>
    <row r="2" customFormat="false" ht="15" hidden="false" customHeight="false" outlineLevel="0" collapsed="false">
      <c r="A2" s="3" t="s">
        <v>846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7" t="s">
        <v>71</v>
      </c>
      <c r="B4" s="7" t="s">
        <v>847</v>
      </c>
      <c r="C4" s="7" t="s">
        <v>848</v>
      </c>
      <c r="D4" s="7" t="s">
        <v>849</v>
      </c>
      <c r="E4" s="7" t="s">
        <v>7</v>
      </c>
    </row>
    <row r="5" customFormat="false" ht="39.55" hidden="false" customHeight="false" outlineLevel="0" collapsed="false">
      <c r="A5" s="8" t="n">
        <v>1</v>
      </c>
      <c r="B5" s="8" t="s">
        <v>850</v>
      </c>
      <c r="C5" s="8" t="s">
        <v>851</v>
      </c>
      <c r="D5" s="8" t="s">
        <v>852</v>
      </c>
      <c r="E5" s="8" t="s">
        <v>853</v>
      </c>
    </row>
    <row r="6" customFormat="false" ht="26.85" hidden="false" customHeight="false" outlineLevel="0" collapsed="false">
      <c r="A6" s="8" t="n">
        <v>2</v>
      </c>
      <c r="B6" s="8" t="s">
        <v>854</v>
      </c>
      <c r="C6" s="8" t="s">
        <v>855</v>
      </c>
      <c r="D6" s="8" t="s">
        <v>83</v>
      </c>
      <c r="E6" s="8" t="s">
        <v>856</v>
      </c>
    </row>
    <row r="7" customFormat="false" ht="26.85" hidden="false" customHeight="false" outlineLevel="0" collapsed="false">
      <c r="A7" s="8" t="n">
        <v>3</v>
      </c>
      <c r="B7" s="8" t="s">
        <v>857</v>
      </c>
      <c r="C7" s="8" t="s">
        <v>858</v>
      </c>
      <c r="D7" s="8" t="s">
        <v>859</v>
      </c>
      <c r="E7" s="8" t="s">
        <v>860</v>
      </c>
    </row>
    <row r="8" customFormat="false" ht="15" hidden="false" customHeight="false" outlineLevel="0" collapsed="false">
      <c r="A8" s="8" t="n">
        <v>4</v>
      </c>
      <c r="B8" s="8" t="s">
        <v>861</v>
      </c>
      <c r="C8" s="8" t="s">
        <v>862</v>
      </c>
      <c r="D8" s="8" t="s">
        <v>863</v>
      </c>
      <c r="E8" s="8" t="s">
        <v>860</v>
      </c>
    </row>
    <row r="9" customFormat="false" ht="15" hidden="false" customHeight="false" outlineLevel="0" collapsed="false">
      <c r="A9" s="8" t="n">
        <v>5</v>
      </c>
      <c r="B9" s="8" t="s">
        <v>864</v>
      </c>
      <c r="C9" s="8" t="s">
        <v>865</v>
      </c>
      <c r="D9" s="8" t="s">
        <v>866</v>
      </c>
      <c r="E9" s="8" t="s">
        <v>860</v>
      </c>
    </row>
    <row r="10" customFormat="false" ht="15" hidden="false" customHeight="false" outlineLevel="0" collapsed="false">
      <c r="A10" s="8" t="n">
        <v>6</v>
      </c>
      <c r="B10" s="8" t="s">
        <v>867</v>
      </c>
      <c r="C10" s="8" t="s">
        <v>868</v>
      </c>
      <c r="D10" s="8" t="s">
        <v>869</v>
      </c>
      <c r="E10" s="8" t="s">
        <v>870</v>
      </c>
    </row>
    <row r="11" customFormat="false" ht="26.85" hidden="false" customHeight="false" outlineLevel="0" collapsed="false">
      <c r="A11" s="8" t="n">
        <v>7</v>
      </c>
      <c r="B11" s="8" t="s">
        <v>871</v>
      </c>
      <c r="C11" s="8" t="s">
        <v>872</v>
      </c>
      <c r="D11" s="8" t="s">
        <v>873</v>
      </c>
      <c r="E11" s="8" t="s">
        <v>106</v>
      </c>
    </row>
    <row r="12" customFormat="false" ht="26.85" hidden="false" customHeight="false" outlineLevel="0" collapsed="false">
      <c r="A12" s="8" t="n">
        <v>8</v>
      </c>
      <c r="B12" s="8" t="s">
        <v>874</v>
      </c>
      <c r="C12" s="8" t="s">
        <v>875</v>
      </c>
      <c r="D12" s="8" t="s">
        <v>876</v>
      </c>
      <c r="E12" s="8" t="s">
        <v>877</v>
      </c>
    </row>
    <row r="13" customFormat="false" ht="26.85" hidden="false" customHeight="false" outlineLevel="0" collapsed="false">
      <c r="A13" s="8" t="n">
        <v>9</v>
      </c>
      <c r="B13" s="8" t="s">
        <v>878</v>
      </c>
      <c r="C13" s="8" t="s">
        <v>879</v>
      </c>
      <c r="D13" s="8" t="s">
        <v>880</v>
      </c>
      <c r="E13" s="8" t="s">
        <v>860</v>
      </c>
    </row>
    <row r="14" customFormat="false" ht="26.85" hidden="false" customHeight="false" outlineLevel="0" collapsed="false">
      <c r="A14" s="8" t="n">
        <v>10</v>
      </c>
      <c r="B14" s="8" t="s">
        <v>881</v>
      </c>
      <c r="C14" s="8" t="s">
        <v>882</v>
      </c>
      <c r="D14" s="8" t="s">
        <v>883</v>
      </c>
      <c r="E14" s="8" t="s">
        <v>884</v>
      </c>
    </row>
    <row r="15" customFormat="false" ht="39.55" hidden="false" customHeight="false" outlineLevel="0" collapsed="false">
      <c r="A15" s="8" t="n">
        <v>11</v>
      </c>
      <c r="B15" s="8" t="s">
        <v>885</v>
      </c>
      <c r="C15" s="8" t="s">
        <v>886</v>
      </c>
      <c r="D15" s="8" t="s">
        <v>887</v>
      </c>
      <c r="E15" s="8" t="s">
        <v>888</v>
      </c>
    </row>
    <row r="16" customFormat="false" ht="26.85" hidden="false" customHeight="false" outlineLevel="0" collapsed="false">
      <c r="A16" s="8" t="n">
        <v>12</v>
      </c>
      <c r="B16" s="8" t="s">
        <v>889</v>
      </c>
      <c r="C16" s="8" t="s">
        <v>890</v>
      </c>
      <c r="D16" s="8" t="s">
        <v>891</v>
      </c>
      <c r="E16" s="8" t="s">
        <v>106</v>
      </c>
    </row>
    <row r="17" customFormat="false" ht="15" hidden="false" customHeight="false" outlineLevel="0" collapsed="false">
      <c r="A17" s="8" t="n">
        <v>13</v>
      </c>
      <c r="B17" s="8" t="s">
        <v>892</v>
      </c>
      <c r="C17" s="8" t="s">
        <v>893</v>
      </c>
      <c r="D17" s="8" t="s">
        <v>894</v>
      </c>
      <c r="E17" s="8" t="s">
        <v>895</v>
      </c>
    </row>
    <row r="18" customFormat="false" ht="26.85" hidden="false" customHeight="false" outlineLevel="0" collapsed="false">
      <c r="A18" s="8" t="n">
        <v>14</v>
      </c>
      <c r="B18" s="8" t="s">
        <v>896</v>
      </c>
      <c r="C18" s="8" t="s">
        <v>897</v>
      </c>
      <c r="D18" s="8" t="s">
        <v>898</v>
      </c>
      <c r="E18" s="8" t="s">
        <v>899</v>
      </c>
    </row>
    <row r="19" customFormat="false" ht="15" hidden="false" customHeight="false" outlineLevel="0" collapsed="false">
      <c r="A19" s="8" t="n">
        <v>15</v>
      </c>
      <c r="B19" s="8" t="s">
        <v>900</v>
      </c>
      <c r="C19" s="8" t="s">
        <v>901</v>
      </c>
      <c r="D19" s="8" t="s">
        <v>902</v>
      </c>
      <c r="E19" s="8" t="s">
        <v>860</v>
      </c>
    </row>
    <row r="20" customFormat="false" ht="26.85" hidden="false" customHeight="false" outlineLevel="0" collapsed="false">
      <c r="A20" s="8" t="n">
        <v>16</v>
      </c>
      <c r="B20" s="8" t="s">
        <v>903</v>
      </c>
      <c r="C20" s="8" t="s">
        <v>904</v>
      </c>
      <c r="D20" s="8" t="s">
        <v>905</v>
      </c>
      <c r="E20" s="8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906</v>
      </c>
    </row>
    <row r="2" customFormat="false" ht="15" hidden="false" customHeight="false" outlineLevel="0" collapsed="false">
      <c r="A2" s="3" t="s">
        <v>907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5" t="s">
        <v>908</v>
      </c>
    </row>
    <row r="5" customFormat="false" ht="15" hidden="false" customHeight="false" outlineLevel="0" collapsed="false">
      <c r="A5" s="35" t="s">
        <v>909</v>
      </c>
    </row>
    <row r="6" customFormat="false" ht="15" hidden="false" customHeight="false" outlineLevel="0" collapsed="false">
      <c r="A6" s="35" t="s">
        <v>910</v>
      </c>
    </row>
    <row r="7" customFormat="false" ht="15" hidden="false" customHeight="false" outlineLevel="0" collapsed="false">
      <c r="A7" s="35" t="s">
        <v>911</v>
      </c>
    </row>
    <row r="8" customFormat="false" ht="15" hidden="false" customHeight="false" outlineLevel="0" collapsed="false">
      <c r="A8" s="35" t="s">
        <v>912</v>
      </c>
    </row>
    <row r="9" customFormat="false" ht="15" hidden="false" customHeight="false" outlineLevel="0" collapsed="false">
      <c r="A9" s="35" t="s">
        <v>913</v>
      </c>
    </row>
    <row r="10" customFormat="false" ht="15" hidden="false" customHeight="false" outlineLevel="0" collapsed="false">
      <c r="A10" s="35" t="s">
        <v>914</v>
      </c>
    </row>
    <row r="11" customFormat="false" ht="15" hidden="false" customHeight="false" outlineLevel="0" collapsed="false">
      <c r="A11" s="35" t="s">
        <v>915</v>
      </c>
    </row>
    <row r="12" customFormat="false" ht="15" hidden="false" customHeight="false" outlineLevel="0" collapsed="false">
      <c r="A12" s="35" t="s">
        <v>916</v>
      </c>
    </row>
    <row r="13" customFormat="false" ht="15" hidden="false" customHeight="false" outlineLevel="0" collapsed="false">
      <c r="A13" s="35" t="s">
        <v>917</v>
      </c>
    </row>
    <row r="14" customFormat="false" ht="15" hidden="false" customHeight="false" outlineLevel="0" collapsed="false">
      <c r="A14" s="35" t="s">
        <v>918</v>
      </c>
    </row>
    <row r="15" customFormat="false" ht="15" hidden="false" customHeight="false" outlineLevel="0" collapsed="false">
      <c r="A15" s="35" t="s">
        <v>919</v>
      </c>
    </row>
    <row r="16" customFormat="false" ht="15" hidden="false" customHeight="false" outlineLevel="0" collapsed="false">
      <c r="A16" s="35" t="s">
        <v>920</v>
      </c>
    </row>
    <row r="17" customFormat="false" ht="15" hidden="false" customHeight="false" outlineLevel="0" collapsed="false">
      <c r="A17" s="35" t="s">
        <v>921</v>
      </c>
    </row>
    <row r="18" customFormat="false" ht="15" hidden="false" customHeight="false" outlineLevel="0" collapsed="false">
      <c r="A18" s="35" t="s">
        <v>922</v>
      </c>
    </row>
    <row r="19" customFormat="false" ht="15" hidden="false" customHeight="false" outlineLevel="0" collapsed="false">
      <c r="A19" s="35" t="s">
        <v>923</v>
      </c>
    </row>
    <row r="20" customFormat="false" ht="15" hidden="false" customHeight="false" outlineLevel="0" collapsed="false">
      <c r="A20" s="35" t="s">
        <v>924</v>
      </c>
    </row>
    <row r="21" customFormat="false" ht="15" hidden="false" customHeight="false" outlineLevel="0" collapsed="false">
      <c r="A21" s="35" t="s">
        <v>925</v>
      </c>
    </row>
    <row r="22" customFormat="false" ht="15" hidden="false" customHeight="false" outlineLevel="0" collapsed="false">
      <c r="A22" s="35" t="s">
        <v>926</v>
      </c>
    </row>
    <row r="23" customFormat="false" ht="15" hidden="false" customHeight="false" outlineLevel="0" collapsed="false">
      <c r="A23" s="35" t="s">
        <v>927</v>
      </c>
    </row>
    <row r="24" customFormat="false" ht="15" hidden="false" customHeight="false" outlineLevel="0" collapsed="false">
      <c r="A24" s="35" t="s">
        <v>928</v>
      </c>
    </row>
    <row r="25" customFormat="false" ht="15" hidden="false" customHeight="false" outlineLevel="0" collapsed="false">
      <c r="A25" s="35" t="s">
        <v>929</v>
      </c>
    </row>
    <row r="26" customFormat="false" ht="15" hidden="false" customHeight="false" outlineLevel="0" collapsed="false">
      <c r="A26" s="35" t="s">
        <v>930</v>
      </c>
    </row>
    <row r="27" customFormat="false" ht="15" hidden="false" customHeight="false" outlineLevel="0" collapsed="false">
      <c r="A27" s="35" t="s">
        <v>931</v>
      </c>
    </row>
    <row r="28" customFormat="false" ht="15" hidden="false" customHeight="false" outlineLevel="0" collapsed="false">
      <c r="A28" s="35" t="s">
        <v>932</v>
      </c>
    </row>
    <row r="29" customFormat="false" ht="15" hidden="false" customHeight="false" outlineLevel="0" collapsed="false">
      <c r="A29" s="35" t="s">
        <v>933</v>
      </c>
    </row>
    <row r="30" customFormat="false" ht="15" hidden="false" customHeight="false" outlineLevel="0" collapsed="false">
      <c r="A30" s="35" t="s">
        <v>934</v>
      </c>
    </row>
    <row r="31" customFormat="false" ht="15" hidden="false" customHeight="false" outlineLevel="0" collapsed="false">
      <c r="A31" s="35" t="s">
        <v>935</v>
      </c>
    </row>
    <row r="32" customFormat="false" ht="15" hidden="false" customHeight="false" outlineLevel="0" collapsed="false">
      <c r="A32" s="35" t="s">
        <v>936</v>
      </c>
    </row>
    <row r="33" customFormat="false" ht="15" hidden="false" customHeight="false" outlineLevel="0" collapsed="false">
      <c r="A33" s="35" t="s">
        <v>937</v>
      </c>
    </row>
    <row r="34" customFormat="false" ht="15" hidden="false" customHeight="false" outlineLevel="0" collapsed="false">
      <c r="A34" s="35" t="s">
        <v>938</v>
      </c>
    </row>
    <row r="35" customFormat="false" ht="15" hidden="false" customHeight="false" outlineLevel="0" collapsed="false">
      <c r="A35" s="35" t="s">
        <v>939</v>
      </c>
    </row>
    <row r="36" customFormat="false" ht="15" hidden="false" customHeight="false" outlineLevel="0" collapsed="false">
      <c r="A36" s="35" t="s">
        <v>940</v>
      </c>
    </row>
    <row r="37" customFormat="false" ht="15" hidden="false" customHeight="false" outlineLevel="0" collapsed="false">
      <c r="A37" s="35" t="s">
        <v>941</v>
      </c>
    </row>
    <row r="38" customFormat="false" ht="15" hidden="false" customHeight="false" outlineLevel="0" collapsed="false">
      <c r="A38" s="35" t="s">
        <v>942</v>
      </c>
    </row>
    <row r="39" customFormat="false" ht="15" hidden="false" customHeight="false" outlineLevel="0" collapsed="false">
      <c r="A39" s="35" t="s">
        <v>911</v>
      </c>
    </row>
    <row r="40" customFormat="false" ht="15" hidden="false" customHeight="false" outlineLevel="0" collapsed="false">
      <c r="A40" s="35" t="s">
        <v>912</v>
      </c>
    </row>
    <row r="41" customFormat="false" ht="15" hidden="false" customHeight="false" outlineLevel="0" collapsed="false">
      <c r="A41" s="35" t="s">
        <v>913</v>
      </c>
    </row>
    <row r="42" customFormat="false" ht="15" hidden="false" customHeight="false" outlineLevel="0" collapsed="false">
      <c r="A42" s="35" t="s">
        <v>914</v>
      </c>
    </row>
    <row r="43" customFormat="false" ht="15" hidden="false" customHeight="false" outlineLevel="0" collapsed="false">
      <c r="A43" s="35" t="s">
        <v>915</v>
      </c>
    </row>
    <row r="44" customFormat="false" ht="15" hidden="false" customHeight="false" outlineLevel="0" collapsed="false">
      <c r="A44" s="35" t="s">
        <v>916</v>
      </c>
    </row>
    <row r="45" customFormat="false" ht="15" hidden="false" customHeight="false" outlineLevel="0" collapsed="false">
      <c r="A45" s="35" t="s">
        <v>917</v>
      </c>
    </row>
    <row r="46" customFormat="false" ht="15" hidden="false" customHeight="false" outlineLevel="0" collapsed="false">
      <c r="A46" s="35" t="s">
        <v>918</v>
      </c>
    </row>
    <row r="47" customFormat="false" ht="15" hidden="false" customHeight="false" outlineLevel="0" collapsed="false">
      <c r="A47" s="35" t="s">
        <v>943</v>
      </c>
    </row>
    <row r="48" customFormat="false" ht="15" hidden="false" customHeight="false" outlineLevel="0" collapsed="false">
      <c r="A48" s="35" t="s">
        <v>920</v>
      </c>
    </row>
    <row r="49" customFormat="false" ht="15" hidden="false" customHeight="false" outlineLevel="0" collapsed="false">
      <c r="A49" s="35" t="s">
        <v>921</v>
      </c>
    </row>
    <row r="50" customFormat="false" ht="15" hidden="false" customHeight="false" outlineLevel="0" collapsed="false">
      <c r="A50" s="35" t="s">
        <v>944</v>
      </c>
    </row>
    <row r="51" customFormat="false" ht="15" hidden="false" customHeight="false" outlineLevel="0" collapsed="false">
      <c r="A51" s="35" t="s">
        <v>945</v>
      </c>
    </row>
    <row r="52" customFormat="false" ht="15" hidden="false" customHeight="false" outlineLevel="0" collapsed="false">
      <c r="A52" s="35" t="s">
        <v>946</v>
      </c>
    </row>
    <row r="53" customFormat="false" ht="15" hidden="false" customHeight="false" outlineLevel="0" collapsed="false">
      <c r="A53" s="35" t="s">
        <v>947</v>
      </c>
    </row>
    <row r="54" customFormat="false" ht="15" hidden="false" customHeight="false" outlineLevel="0" collapsed="false">
      <c r="A54" s="35" t="s">
        <v>926</v>
      </c>
    </row>
    <row r="55" customFormat="false" ht="15" hidden="false" customHeight="false" outlineLevel="0" collapsed="false">
      <c r="A55" s="35" t="s">
        <v>948</v>
      </c>
    </row>
    <row r="56" customFormat="false" ht="15" hidden="false" customHeight="false" outlineLevel="0" collapsed="false">
      <c r="A56" s="35" t="s">
        <v>949</v>
      </c>
    </row>
    <row r="57" customFormat="false" ht="15" hidden="false" customHeight="false" outlineLevel="0" collapsed="false">
      <c r="A57" s="35" t="s">
        <v>950</v>
      </c>
    </row>
    <row r="58" customFormat="false" ht="15" hidden="false" customHeight="false" outlineLevel="0" collapsed="false">
      <c r="A58" s="35" t="s">
        <v>951</v>
      </c>
    </row>
    <row r="59" customFormat="false" ht="15" hidden="false" customHeight="false" outlineLevel="0" collapsed="false">
      <c r="A59" s="35" t="s">
        <v>952</v>
      </c>
    </row>
    <row r="60" customFormat="false" ht="15" hidden="false" customHeight="false" outlineLevel="0" collapsed="false">
      <c r="A60" s="35" t="s">
        <v>953</v>
      </c>
    </row>
    <row r="61" customFormat="false" ht="15" hidden="false" customHeight="false" outlineLevel="0" collapsed="false">
      <c r="A61" s="35" t="s">
        <v>954</v>
      </c>
    </row>
    <row r="62" customFormat="false" ht="15" hidden="false" customHeight="false" outlineLevel="0" collapsed="false">
      <c r="A62" s="35" t="s">
        <v>955</v>
      </c>
    </row>
    <row r="63" customFormat="false" ht="15" hidden="false" customHeight="false" outlineLevel="0" collapsed="false">
      <c r="A63" s="35" t="s">
        <v>956</v>
      </c>
    </row>
    <row r="64" customFormat="false" ht="15" hidden="false" customHeight="false" outlineLevel="0" collapsed="false">
      <c r="A64" s="35" t="s">
        <v>957</v>
      </c>
    </row>
    <row r="65" customFormat="false" ht="15" hidden="false" customHeight="false" outlineLevel="0" collapsed="false">
      <c r="A65" s="35" t="s">
        <v>958</v>
      </c>
    </row>
    <row r="66" customFormat="false" ht="15" hidden="false" customHeight="false" outlineLevel="0" collapsed="false">
      <c r="A66" s="35" t="s">
        <v>959</v>
      </c>
    </row>
    <row r="67" customFormat="false" ht="15" hidden="false" customHeight="false" outlineLevel="0" collapsed="false">
      <c r="A67" s="35" t="s">
        <v>960</v>
      </c>
    </row>
    <row r="68" customFormat="false" ht="15" hidden="false" customHeight="false" outlineLevel="0" collapsed="false">
      <c r="A68" s="35" t="s">
        <v>961</v>
      </c>
    </row>
    <row r="69" customFormat="false" ht="15" hidden="false" customHeight="false" outlineLevel="0" collapsed="false">
      <c r="A69" s="35" t="s">
        <v>962</v>
      </c>
    </row>
    <row r="70" customFormat="false" ht="15" hidden="false" customHeight="false" outlineLevel="0" collapsed="false">
      <c r="A70" s="35" t="s">
        <v>963</v>
      </c>
    </row>
    <row r="71" customFormat="false" ht="15" hidden="false" customHeight="false" outlineLevel="0" collapsed="false">
      <c r="A71" s="35" t="s">
        <v>964</v>
      </c>
    </row>
    <row r="72" customFormat="false" ht="15" hidden="false" customHeight="false" outlineLevel="0" collapsed="false">
      <c r="A72" s="35" t="s">
        <v>965</v>
      </c>
    </row>
    <row r="73" customFormat="false" ht="15" hidden="false" customHeight="false" outlineLevel="0" collapsed="false">
      <c r="A73" s="35" t="s">
        <v>966</v>
      </c>
    </row>
    <row r="74" customFormat="false" ht="15" hidden="false" customHeight="false" outlineLevel="0" collapsed="false">
      <c r="A74" s="35" t="s">
        <v>967</v>
      </c>
    </row>
    <row r="75" customFormat="false" ht="15" hidden="false" customHeight="false" outlineLevel="0" collapsed="false">
      <c r="A75" s="35" t="s">
        <v>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2026-10-12T15:15:11Z</dcterms:created>
  <dc:creator>openpyxl</dc:creator>
  <dc:description/>
  <dc:language>en-US</dc:language>
  <cp:lastModifiedBy/>
  <dcterms:modified xsi:type="dcterms:W3CDTF">2026-10-12T15:15:20Z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